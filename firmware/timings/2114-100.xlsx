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tWC_start">Timings!$K$4</definedName>
    <definedName name="tCO_end">Timings!$K$22</definedName>
    <definedName name="tRC_start">Timings!$K$4</definedName>
    <definedName name="tDH_start">Timings!$K$14</definedName>
    <definedName name="tOTD_start">Timings!$K$25</definedName>
    <definedName name="tCO_start">Timings!$K$19</definedName>
    <definedName name="branch">Timings!$K$7</definedName>
    <definedName name="tOTD_end">Timings!$K$30</definedName>
    <definedName name="tRC_end">Timings!$K$30</definedName>
    <definedName name="tW_end">Timings!$K$14</definedName>
    <definedName name="tDH_end">Timings!$K$17</definedName>
    <definedName name="tDW_end">Timings!$K$14</definedName>
    <definedName name="tW_start">Timings!$K$9</definedName>
    <definedName name="tDW_start">Timings!$K$6</definedName>
    <definedName name="tolerance">Timings!$B$30</definedName>
    <definedName name="tWC_end">Timings!$K$17</definedName>
    <definedName name="inst_ns">Timings!$I$2</definedName>
  </definedNames>
  <calcPr/>
  <extLst>
    <ext uri="GoogleSheetsCustomDataVersion2">
      <go:sheetsCustomData xmlns:go="http://customooxmlschemas.google.com/" r:id="rId6" roundtripDataChecksum="8BlZARZ68vVYxDZWeEHSeosyXe3zO0FcMouS65Rh88Q="/>
    </ext>
  </extLst>
</workbook>
</file>

<file path=xl/sharedStrings.xml><?xml version="1.0" encoding="utf-8"?>
<sst xmlns="http://schemas.openxmlformats.org/spreadsheetml/2006/main" count="86" uniqueCount="78">
  <si>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</si>
  <si>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</si>
  <si>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</si>
  <si>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</si>
  <si>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</si>
  <si>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</si>
  <si>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</si>
  <si>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</si>
  <si>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</si>
  <si>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</si>
  <si>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</si>
  <si>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</si>
  <si>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</si>
  <si>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</si>
  <si>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</si>
  <si>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</si>
  <si>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begin</t>
  </si>
  <si>
    <t>pull block</t>
  </si>
  <si>
    <t>Get the next command. Let's start tRC/tWC loop here.</t>
  </si>
  <si>
    <t>out x, 1</t>
  </si>
  <si>
    <t>Get first bit - which tells us if we are in write mode.</t>
  </si>
  <si>
    <t>out pins, 17</t>
  </si>
  <si>
    <t>Load address, data, and CMD_ALL_OFF. Start of tDW.</t>
  </si>
  <si>
    <t>jmp !x read_branch</t>
  </si>
  <si>
    <t>Skip write if not in write mode</t>
  </si>
  <si>
    <t>write_branch:</t>
  </si>
  <si>
    <t>mov pindirs, ~NULL</t>
  </si>
  <si>
    <t>All pins are outputs to ram.</t>
  </si>
  <si>
    <t>set pins, CMD_ALL_ON</t>
  </si>
  <si>
    <t xml:space="preserve">Lower CS and WE. Start of tW. </t>
  </si>
  <si>
    <t>nop [1]</t>
  </si>
  <si>
    <t>tW delay1.</t>
  </si>
  <si>
    <t>nop [2]</t>
  </si>
  <si>
    <t>tW delay2.</t>
  </si>
  <si>
    <t>in NULL, 32</t>
  </si>
  <si>
    <t>Need to let C code know we are finished!</t>
  </si>
  <si>
    <t>push noblock</t>
  </si>
  <si>
    <t>Send ISR to input FIFO.</t>
  </si>
  <si>
    <t>set pins, CMD_ALL_OFF</t>
  </si>
  <si>
    <t>End of write pulse. tW, tDW must be met. Start of tDH.</t>
  </si>
  <si>
    <t>nop [3]</t>
  </si>
  <si>
    <t>Write cycle recovery time 1.</t>
  </si>
  <si>
    <t>Datasheet Timings</t>
  </si>
  <si>
    <t>Adjusted</t>
  </si>
  <si>
    <t>Actuals</t>
  </si>
  <si>
    <t>nop [4]</t>
  </si>
  <si>
    <t>tW</t>
  </si>
  <si>
    <t>jmp begin</t>
  </si>
  <si>
    <t>tDH, tWC must be met.</t>
  </si>
  <si>
    <t>tDW</t>
  </si>
  <si>
    <t>read_branch</t>
  </si>
  <si>
    <t>mov pindirs, ~y</t>
  </si>
  <si>
    <t>Data pins are inputs.</t>
  </si>
  <si>
    <t>tWC</t>
  </si>
  <si>
    <t>set pins, CMD_CS_ON</t>
  </si>
  <si>
    <t>Lower CS only. Start of tCO.</t>
  </si>
  <si>
    <t>tCO</t>
  </si>
  <si>
    <t>nop[5]</t>
  </si>
  <si>
    <t>tCO delay 1.</t>
  </si>
  <si>
    <t>tOTD</t>
  </si>
  <si>
    <t>nop[6]</t>
  </si>
  <si>
    <t>tCO delay 2.</t>
  </si>
  <si>
    <t>tRC</t>
  </si>
  <si>
    <t>in pins, 17</t>
  </si>
  <si>
    <t>Sample pins into ISR. tCO mst be met.</t>
  </si>
  <si>
    <t>in NULL, 15</t>
  </si>
  <si>
    <t>Shift pins right so they start at LSB of ISR.</t>
  </si>
  <si>
    <t>Deselect the data. Start of tOTD.</t>
  </si>
  <si>
    <t>nop [7]</t>
  </si>
  <si>
    <t>Read cycle recovery time 1.</t>
  </si>
  <si>
    <t>nop [8]</t>
  </si>
  <si>
    <t>Read cycle recovery time 2.</t>
  </si>
  <si>
    <t>nop [9]</t>
  </si>
  <si>
    <t>Read cycle recovery time 3.</t>
  </si>
  <si>
    <t>nop [10]</t>
  </si>
  <si>
    <t>Tolerance %</t>
  </si>
  <si>
    <t>tOTD, tRC must be met.</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</si>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</sst>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ill="1" applyFont="1">
      <alignment horizontal="center" shrinkToFit="0" vertical="center" wrapText="0"/>
    </xf>
    <xf borderId="3" fillId="0" fontId="4" numFmtId="0" xfId="0" applyBorder="1" applyFont="1"/>
    <xf borderId="4" fillId="2" fontId="5" numFmtId="0" xfId="0" applyAlignment="1" applyBorder="1" applyFill="1" applyFont="1">
      <alignment horizontal="right" shrinkToFit="0" vertical="center" wrapText="0"/>
    </xf>
    <xf borderId="4" fillId="2" fontId="1" numFmtId="0" xfId="0" applyAlignment="1" applyBorder="1" applyFill="1" applyFont="1">
      <alignment shrinkToFit="0" vertical="center" wrapText="0"/>
    </xf>
    <xf borderId="5" fillId="2" fontId="1" numFmtId="0" xfId="0" applyAlignment="1" applyBorder="1" applyFill="1" applyFont="1">
      <alignment horizontal="center" shrinkToFit="0" vertical="center" wrapText="0"/>
    </xf>
    <xf borderId="5" fillId="0" fontId="4" numFmtId="0" xfId="0" applyBorder="1" applyFont="1"/>
    <xf borderId="6" fillId="2" fontId="1" numFmtId="0" xfId="0" applyAlignment="1" applyBorder="1" applyFill="1" applyFont="1">
      <alignment shrinkToFit="0" vertical="center" wrapText="0"/>
    </xf>
    <xf borderId="6" fillId="2" fontId="1" numFmtId="0" xfId="0" applyAlignment="1" applyBorder="1" applyFill="1" applyFont="1">
      <alignment horizontal="right" shrinkToFit="0" vertical="center" wrapText="0"/>
    </xf>
    <xf borderId="0" fillId="3" fontId="1" numFmtId="0" xfId="0" applyAlignment="1" applyFill="1" applyFont="1">
      <alignment horizontal="right" shrinkToFit="0" vertical="center" wrapText="0"/>
    </xf>
    <xf borderId="1" fillId="3" fontId="1" numFmtId="0" xfId="0" applyAlignment="1" applyBorder="1" applyFill="1" applyFont="1">
      <alignment horizontal="right" shrinkToFit="0" vertical="center" wrapText="0"/>
    </xf>
    <xf borderId="0" fillId="0" fontId="6" numFmtId="0" xfId="0" applyAlignment="1" applyFont="1">
      <alignment vertical="center"/>
    </xf>
    <xf borderId="7" fillId="2" fontId="1" numFmtId="0" xfId="0" applyAlignment="1" applyBorder="1" applyFill="1" applyFont="1">
      <alignment horizontal="right" shrinkToFit="0" vertical="center" wrapText="0"/>
    </xf>
    <xf borderId="8" fillId="2" fontId="1" numFmtId="0" xfId="0" applyAlignment="1" applyBorder="1" applyFill="1" applyFont="1">
      <alignment shrinkToFit="0" vertical="center" wrapText="0"/>
    </xf>
    <xf borderId="9" fillId="2" fontId="1" numFmtId="0" xfId="0" applyAlignment="1" applyBorder="1" applyFill="1" applyFont="1">
      <alignment horizontal="center" shrinkToFit="0" vertical="center" wrapText="0"/>
    </xf>
    <xf borderId="7" fillId="2" fontId="1" numFmtId="0" xfId="0" applyAlignment="1" applyBorder="1" applyFill="1" applyFont="1">
      <alignment shrinkToFit="0" vertical="center" wrapText="0"/>
    </xf>
    <xf borderId="6" fillId="2" fontId="2" numFmtId="0" xfId="0" applyAlignment="1" applyBorder="1" applyFill="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4" fillId="0" fontId="2" numFmtId="0" xfId="0" applyAlignment="1" applyBorder="1" applyFont="1">
      <alignment horizontal="right" shrinkToFit="0" vertical="center" wrapText="0"/>
    </xf>
    <xf borderId="4" fillId="0" fontId="2" numFmtId="0" xfId="0" applyAlignment="1" applyBorder="1" applyFont="1">
      <alignment shrinkToFit="0" vertical="center" wrapText="0"/>
    </xf>
    <xf borderId="4" fillId="0" fontId="2" numFmtId="164" xfId="0" applyAlignment="1" applyBorder="1" applyFont="1" applyNumberFormat="1">
      <alignment shrinkToFit="0" vertical="center" wrapText="0"/>
    </xf>
    <xf borderId="6" fillId="2" fontId="2" numFmtId="0" xfId="0" applyAlignment="1" applyBorder="1" applyFill="1" applyFont="1">
      <alignment horizontal="right" shrinkToFit="0" vertical="center" wrapText="0"/>
    </xf>
    <xf borderId="6" fillId="0" fontId="2" numFmtId="0" xfId="0" applyAlignment="1" applyBorder="1" applyFont="1">
      <alignment horizontal="right" readingOrder="0" shrinkToFit="0" vertical="center" wrapText="0"/>
    </xf>
    <xf borderId="4" fillId="0" fontId="7"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4" fillId="0" fontId="6" numFmtId="0" xfId="0" applyBorder="1" applyFont="1"/>
    <xf borderId="6" fillId="0" fontId="2" numFmtId="0" xfId="0" applyAlignment="1" applyBorder="1" applyFont="1">
      <alignment readingOrder="0" shrinkToFit="0" vertical="center" wrapText="0"/>
    </xf>
    <xf borderId="7" fillId="0" fontId="2" numFmtId="1" xfId="0" applyAlignment="1" applyBorder="1" applyFont="1" applyNumberFormat="1">
      <alignment horizontal="right" shrinkToFit="0" vertical="center" wrapText="0"/>
    </xf>
    <xf borderId="7" fillId="0" fontId="2" numFmtId="164" xfId="0" applyAlignment="1" applyBorder="1" applyFont="1" applyNumberFormat="1">
      <alignment horizontal="right" shrinkToFit="0" vertical="center" wrapText="0"/>
    </xf>
    <xf borderId="2" fillId="0" fontId="2" numFmtId="0" xfId="0" applyAlignment="1" applyBorder="1" applyFont="1">
      <alignment horizontal="right" readingOrder="0"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4" fillId="3" fontId="8" numFmtId="164" xfId="0" applyAlignment="1" applyBorder="1" applyFill="1" applyFont="1" applyNumberFormat="1">
      <alignment shrinkToFit="0" vertical="center" wrapText="0"/>
    </xf>
    <xf borderId="12" fillId="2" fontId="6" numFmtId="0" xfId="0" applyAlignment="1" applyBorder="1" applyFill="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23.75"/>
    <col customWidth="1" min="9" max="9" width="6.38"/>
    <col customWidth="1" min="10" max="10" width="11.38"/>
    <col customWidth="1" min="11" max="11" width="10.38"/>
    <col customWidth="1" min="12" max="12" width="85.63"/>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20" t="s">
        <v>11</v>
      </c>
      <c r="H3" s="21" t="s">
        <v>12</v>
      </c>
      <c r="I3" s="21" t="s">
        <v>13</v>
      </c>
      <c r="J3" s="22" t="s">
        <v>14</v>
      </c>
      <c r="K3" s="23" t="s">
        <v>15</v>
      </c>
      <c r="L3" s="23" t="s">
        <v>1</v>
      </c>
    </row>
    <row r="4" ht="15.75" customHeight="1">
      <c r="A4" s="24">
        <v>0.0</v>
      </c>
      <c r="B4" s="25">
        <v>0.0</v>
      </c>
      <c r="C4" s="26"/>
      <c r="D4" s="26"/>
      <c r="E4" s="26"/>
      <c r="F4" s="26"/>
      <c r="G4" s="27" t="s">
        <v>16</v>
      </c>
      <c r="H4" s="28" t="s">
        <v>17</v>
      </c>
      <c r="I4" s="28">
        <v>0.0</v>
      </c>
      <c r="J4" s="29">
        <v>0.0</v>
      </c>
      <c r="K4" s="29">
        <f>J4+(OFFSET($B$4,$I4,0)+1)*inst_ns</f>
        <v>3.3333</v>
      </c>
      <c r="L4" s="28" t="s">
        <v>18</v>
      </c>
    </row>
    <row r="5" ht="15.75" customHeight="1">
      <c r="A5" s="30">
        <v>1.0</v>
      </c>
      <c r="B5" s="31">
        <v>16.0</v>
      </c>
      <c r="C5" s="26"/>
      <c r="D5" s="26"/>
      <c r="E5" s="26"/>
      <c r="F5" s="26"/>
      <c r="G5" s="27"/>
      <c r="H5" s="28" t="s">
        <v>19</v>
      </c>
      <c r="I5" s="28">
        <v>0.0</v>
      </c>
      <c r="J5" s="29">
        <f t="shared" ref="J5:J7" si="1">K4</f>
        <v>3.3333</v>
      </c>
      <c r="K5" s="29">
        <f>J5+(OFFSET($B$4,$I5,0)+1)*inst_ns</f>
        <v>6.6666</v>
      </c>
      <c r="L5" s="28" t="s">
        <v>20</v>
      </c>
    </row>
    <row r="6" ht="15.75" customHeight="1">
      <c r="A6" s="30">
        <v>2.0</v>
      </c>
      <c r="B6" s="25">
        <v>0.0</v>
      </c>
      <c r="C6" s="26"/>
      <c r="D6" s="26"/>
      <c r="E6" s="26"/>
      <c r="F6" s="26"/>
      <c r="G6" s="27"/>
      <c r="H6" s="28" t="s">
        <v>21</v>
      </c>
      <c r="I6" s="28">
        <v>0.0</v>
      </c>
      <c r="J6" s="29">
        <f t="shared" si="1"/>
        <v>6.6666</v>
      </c>
      <c r="K6" s="29">
        <f>J6+(OFFSET($B$4,$I6,0)+1)*inst_ns</f>
        <v>9.9999</v>
      </c>
      <c r="L6" s="28" t="s">
        <v>22</v>
      </c>
    </row>
    <row r="7" ht="15.75" customHeight="1">
      <c r="A7" s="30">
        <v>3.0</v>
      </c>
      <c r="B7" s="25">
        <v>0.0</v>
      </c>
      <c r="C7" s="26"/>
      <c r="D7" s="26"/>
      <c r="E7" s="26"/>
      <c r="F7" s="26"/>
      <c r="G7" s="27"/>
      <c r="H7" s="28" t="s">
        <v>23</v>
      </c>
      <c r="I7" s="28">
        <v>0.0</v>
      </c>
      <c r="J7" s="32">
        <f t="shared" si="1"/>
        <v>9.9999</v>
      </c>
      <c r="K7" s="29">
        <f>J7+(OFFSET($B$4,$I7,0)+1)*inst_ns</f>
        <v>13.3332</v>
      </c>
      <c r="L7" s="28" t="s">
        <v>24</v>
      </c>
    </row>
    <row r="8" ht="15.75" customHeight="1">
      <c r="A8" s="30">
        <v>4.0</v>
      </c>
      <c r="B8" s="31">
        <v>0.0</v>
      </c>
      <c r="C8" s="26"/>
      <c r="D8" s="26"/>
      <c r="E8" s="26"/>
      <c r="F8" s="26"/>
      <c r="G8" s="27" t="s">
        <v>25</v>
      </c>
      <c r="H8" s="28" t="s">
        <v>26</v>
      </c>
      <c r="I8" s="28">
        <v>0.0</v>
      </c>
      <c r="J8" s="29">
        <f>branch</f>
        <v>13.3332</v>
      </c>
      <c r="K8" s="29">
        <f>J8+(OFFSET($B$4,$I8,0)+1)*inst_ns</f>
        <v>16.6665</v>
      </c>
      <c r="L8" s="28" t="s">
        <v>27</v>
      </c>
    </row>
    <row r="9" ht="15.75" customHeight="1">
      <c r="A9" s="30">
        <v>5.0</v>
      </c>
      <c r="B9" s="31">
        <v>17.0</v>
      </c>
      <c r="C9" s="26"/>
      <c r="D9" s="26"/>
      <c r="E9" s="26"/>
      <c r="F9" s="26"/>
      <c r="G9" s="27"/>
      <c r="H9" s="28" t="s">
        <v>28</v>
      </c>
      <c r="I9" s="28">
        <v>0.0</v>
      </c>
      <c r="J9" s="29">
        <f t="shared" ref="J9:J17" si="2">K8</f>
        <v>16.6665</v>
      </c>
      <c r="K9" s="29">
        <f>J9+(OFFSET($B$4,$I9,0)+1)*inst_ns</f>
        <v>19.9998</v>
      </c>
      <c r="L9" s="28" t="s">
        <v>29</v>
      </c>
    </row>
    <row r="10" ht="15.75" customHeight="1">
      <c r="A10" s="30">
        <v>6.0</v>
      </c>
      <c r="B10" s="25">
        <v>0.0</v>
      </c>
      <c r="C10" s="26"/>
      <c r="D10" s="26"/>
      <c r="E10" s="26"/>
      <c r="F10" s="26"/>
      <c r="G10" s="27"/>
      <c r="H10" s="28" t="s">
        <v>30</v>
      </c>
      <c r="I10" s="28">
        <v>1.0</v>
      </c>
      <c r="J10" s="32">
        <f t="shared" si="2"/>
        <v>19.9998</v>
      </c>
      <c r="K10" s="29">
        <f>J10+(OFFSET($B$4,$I10,0)+1)*inst_ns</f>
        <v>76.6659</v>
      </c>
      <c r="L10" s="28" t="s">
        <v>31</v>
      </c>
    </row>
    <row r="11" ht="15.75" customHeight="1">
      <c r="A11" s="30">
        <v>7.0</v>
      </c>
      <c r="B11" s="31">
        <v>4.0</v>
      </c>
      <c r="C11" s="26"/>
      <c r="D11" s="26"/>
      <c r="E11" s="26"/>
      <c r="F11" s="26"/>
      <c r="G11" s="27"/>
      <c r="H11" s="28" t="s">
        <v>32</v>
      </c>
      <c r="I11" s="28">
        <v>2.0</v>
      </c>
      <c r="J11" s="32">
        <f t="shared" si="2"/>
        <v>76.6659</v>
      </c>
      <c r="K11" s="29">
        <f>J11+(OFFSET($B$4,$I11,0)+1)*inst_ns</f>
        <v>79.9992</v>
      </c>
      <c r="L11" s="28" t="s">
        <v>33</v>
      </c>
    </row>
    <row r="12" ht="15.75" customHeight="1">
      <c r="A12" s="30">
        <v>8.0</v>
      </c>
      <c r="B12" s="25">
        <v>0.0</v>
      </c>
      <c r="C12" s="26"/>
      <c r="D12" s="26" t="s">
        <v>5</v>
      </c>
      <c r="E12" s="26"/>
      <c r="F12" s="26"/>
      <c r="G12" s="27"/>
      <c r="H12" s="28" t="s">
        <v>34</v>
      </c>
      <c r="I12" s="28">
        <v>0.0</v>
      </c>
      <c r="J12" s="29">
        <f t="shared" si="2"/>
        <v>79.9992</v>
      </c>
      <c r="K12" s="29">
        <f>J12+(OFFSET($B$4,$I12,0)+1)*inst_ns</f>
        <v>83.3325</v>
      </c>
      <c r="L12" s="28" t="s">
        <v>35</v>
      </c>
    </row>
    <row r="13" ht="15.75" customHeight="1">
      <c r="A13" s="30">
        <v>9.0</v>
      </c>
      <c r="B13" s="25">
        <v>0.0</v>
      </c>
      <c r="E13" s="19"/>
      <c r="F13" s="19"/>
      <c r="G13" s="27"/>
      <c r="H13" s="28" t="s">
        <v>36</v>
      </c>
      <c r="I13" s="28">
        <v>0.0</v>
      </c>
      <c r="J13" s="32">
        <f t="shared" si="2"/>
        <v>83.3325</v>
      </c>
      <c r="K13" s="29">
        <f>J13+(OFFSET($B$4,$I13,0)+1)*inst_ns</f>
        <v>86.6658</v>
      </c>
      <c r="L13" s="28" t="s">
        <v>37</v>
      </c>
    </row>
    <row r="14" ht="15.75" customHeight="1">
      <c r="A14" s="30">
        <v>10.0</v>
      </c>
      <c r="B14" s="25">
        <v>0.0</v>
      </c>
      <c r="E14" s="19"/>
      <c r="F14" s="19"/>
      <c r="G14" s="27"/>
      <c r="H14" s="28" t="s">
        <v>38</v>
      </c>
      <c r="I14" s="28">
        <v>0.0</v>
      </c>
      <c r="J14" s="29">
        <f t="shared" si="2"/>
        <v>86.6658</v>
      </c>
      <c r="K14" s="29">
        <f>J14+(OFFSET($B$4,$I14,0)+1)*inst_ns</f>
        <v>89.9991</v>
      </c>
      <c r="L14" s="28" t="s">
        <v>39</v>
      </c>
    </row>
    <row r="15" ht="15.75" customHeight="1">
      <c r="E15" s="19"/>
      <c r="F15" s="19"/>
      <c r="G15" s="27"/>
      <c r="H15" s="28" t="s">
        <v>40</v>
      </c>
      <c r="I15" s="28">
        <v>3.0</v>
      </c>
      <c r="J15" s="29">
        <f t="shared" si="2"/>
        <v>89.9991</v>
      </c>
      <c r="K15" s="29">
        <f>J15+(OFFSET($B$4,$I15,0)+1)*inst_ns</f>
        <v>93.3324</v>
      </c>
      <c r="L15" s="28" t="s">
        <v>41</v>
      </c>
    </row>
    <row r="16" ht="15.75" customHeight="1">
      <c r="A16" s="9" t="s">
        <v>42</v>
      </c>
      <c r="B16" s="10"/>
      <c r="C16" s="16" t="s">
        <v>43</v>
      </c>
      <c r="D16" s="16" t="s">
        <v>44</v>
      </c>
      <c r="E16" s="19"/>
      <c r="F16" s="19"/>
      <c r="G16" s="27"/>
      <c r="H16" s="28" t="s">
        <v>45</v>
      </c>
      <c r="I16" s="28">
        <v>4.0</v>
      </c>
      <c r="J16" s="29">
        <f t="shared" si="2"/>
        <v>93.3324</v>
      </c>
      <c r="K16" s="29">
        <f>J16+(OFFSET($B$4,$I16,0)+1)*inst_ns</f>
        <v>96.6657</v>
      </c>
      <c r="L16" s="28" t="s">
        <v>41</v>
      </c>
    </row>
    <row r="17" ht="15.75" customHeight="1">
      <c r="A17" s="30" t="s">
        <v>46</v>
      </c>
      <c r="B17" s="25">
        <v>75.0</v>
      </c>
      <c r="C17" s="33">
        <f>B17 + (B17 * tolerance/100)</f>
        <v>69.75</v>
      </c>
      <c r="D17" s="34">
        <f>ROUND(tW_end - tW_start,1)</f>
        <v>70</v>
      </c>
      <c r="E17" s="19"/>
      <c r="F17" s="19"/>
      <c r="G17" s="35"/>
      <c r="H17" s="28" t="s">
        <v>47</v>
      </c>
      <c r="I17" s="28">
        <v>0.0</v>
      </c>
      <c r="J17" s="32">
        <f t="shared" si="2"/>
        <v>96.6657</v>
      </c>
      <c r="K17" s="29">
        <f>J17+(OFFSET($B$4,$I17,0)+1)*inst_ns</f>
        <v>99.999</v>
      </c>
      <c r="L17" s="28" t="s">
        <v>48</v>
      </c>
    </row>
    <row r="18" ht="15.75" customHeight="1">
      <c r="A18" s="30" t="s">
        <v>49</v>
      </c>
      <c r="B18" s="25">
        <v>70.0</v>
      </c>
      <c r="C18" s="33">
        <f>B18 + (B18 * tolerance/100)</f>
        <v>65.1</v>
      </c>
      <c r="D18" s="34">
        <f>ROUND(tDW_end - tDW_start,1)</f>
        <v>80</v>
      </c>
      <c r="E18" s="19"/>
      <c r="F18" s="19"/>
      <c r="G18" s="27" t="s">
        <v>50</v>
      </c>
      <c r="H18" s="28" t="s">
        <v>51</v>
      </c>
      <c r="I18" s="28">
        <v>0.0</v>
      </c>
      <c r="J18" s="29">
        <f>branch</f>
        <v>13.3332</v>
      </c>
      <c r="K18" s="29">
        <f>J18+(OFFSET($B$4,$I18,0)+1)*inst_ns</f>
        <v>16.6665</v>
      </c>
      <c r="L18" s="28" t="s">
        <v>52</v>
      </c>
    </row>
    <row r="19" ht="15.75" customHeight="1">
      <c r="A19" s="30" t="s">
        <v>53</v>
      </c>
      <c r="B19" s="31">
        <v>100.0</v>
      </c>
      <c r="C19" s="33">
        <f>B19 + (B19 * tolerance/100)</f>
        <v>93</v>
      </c>
      <c r="D19" s="34">
        <f>ROUND(tWC_end - tWC_start, 1)</f>
        <v>96.7</v>
      </c>
      <c r="E19" s="19"/>
      <c r="F19" s="19"/>
      <c r="G19" s="27"/>
      <c r="H19" s="28" t="s">
        <v>54</v>
      </c>
      <c r="I19" s="28">
        <v>0.0</v>
      </c>
      <c r="J19" s="29">
        <f t="shared" ref="J19:J30" si="3">K18</f>
        <v>16.6665</v>
      </c>
      <c r="K19" s="29">
        <f>J19+(OFFSET($B$4,$I19,0)+1)*inst_ns</f>
        <v>19.9998</v>
      </c>
      <c r="L19" s="28" t="s">
        <v>55</v>
      </c>
    </row>
    <row r="20" ht="15.75" customHeight="1">
      <c r="A20" s="30" t="s">
        <v>56</v>
      </c>
      <c r="B20" s="25">
        <v>70.0</v>
      </c>
      <c r="C20" s="33">
        <f>B20 + (B20 * tolerance/100)</f>
        <v>65.1</v>
      </c>
      <c r="D20" s="34">
        <f>ROUND(tCO_end - tCO_start,1)</f>
        <v>66.7</v>
      </c>
      <c r="E20" s="19"/>
      <c r="F20" s="19"/>
      <c r="G20" s="27"/>
      <c r="H20" s="28" t="s">
        <v>57</v>
      </c>
      <c r="I20" s="28">
        <v>5.0</v>
      </c>
      <c r="J20" s="32">
        <f t="shared" si="3"/>
        <v>19.9998</v>
      </c>
      <c r="K20" s="29">
        <f>J20+(OFFSET($B$4,$I20,0)+1)*inst_ns</f>
        <v>79.9992</v>
      </c>
      <c r="L20" s="28" t="s">
        <v>58</v>
      </c>
    </row>
    <row r="21" ht="15.75" customHeight="1">
      <c r="A21" s="30" t="s">
        <v>59</v>
      </c>
      <c r="B21" s="36">
        <v>30.0</v>
      </c>
      <c r="C21" s="33">
        <f>B21 + (B21 * tolerance/100)</f>
        <v>27.9</v>
      </c>
      <c r="D21" s="34">
        <f>ROUND(tOTD_end - tOTD_start,1)</f>
        <v>30</v>
      </c>
      <c r="E21" s="19"/>
      <c r="F21" s="19"/>
      <c r="G21" s="27"/>
      <c r="H21" s="28" t="s">
        <v>60</v>
      </c>
      <c r="I21" s="28">
        <v>6.0</v>
      </c>
      <c r="J21" s="32">
        <f t="shared" si="3"/>
        <v>79.9992</v>
      </c>
      <c r="K21" s="29">
        <f>J21+(OFFSET($B$4,$I21,0)+1)*inst_ns</f>
        <v>83.3325</v>
      </c>
      <c r="L21" s="28" t="s">
        <v>61</v>
      </c>
    </row>
    <row r="22" ht="15.75" customHeight="1">
      <c r="A22" s="30" t="s">
        <v>62</v>
      </c>
      <c r="B22" s="31">
        <v>100.0</v>
      </c>
      <c r="C22" s="33">
        <f>B22 + (B22 * tolerance/100)</f>
        <v>93</v>
      </c>
      <c r="D22" s="34">
        <f>ROUND(tRC_end - tRC_start, 1)</f>
        <v>123.3</v>
      </c>
      <c r="E22" s="19"/>
      <c r="F22" s="19"/>
      <c r="G22" s="35"/>
      <c r="H22" s="35" t="s">
        <v>63</v>
      </c>
      <c r="I22" s="28">
        <v>0.0</v>
      </c>
      <c r="J22" s="29">
        <f t="shared" si="3"/>
        <v>83.3325</v>
      </c>
      <c r="K22" s="29">
        <f>J22+(OFFSET($B$4,$I22,0)+1)*inst_ns</f>
        <v>86.6658</v>
      </c>
      <c r="L22" s="28" t="s">
        <v>64</v>
      </c>
    </row>
    <row r="23" ht="15.75" customHeight="1">
      <c r="A23" s="30"/>
      <c r="B23" s="25"/>
      <c r="C23" s="33"/>
      <c r="D23" s="34"/>
      <c r="E23" s="19"/>
      <c r="F23" s="19"/>
      <c r="G23" s="27"/>
      <c r="H23" s="28" t="s">
        <v>65</v>
      </c>
      <c r="I23" s="28">
        <v>0.0</v>
      </c>
      <c r="J23" s="29">
        <f t="shared" si="3"/>
        <v>86.6658</v>
      </c>
      <c r="K23" s="29">
        <f>J23+(OFFSET($B$4,$I23,0)+1)*inst_ns</f>
        <v>89.9991</v>
      </c>
      <c r="L23" s="28" t="s">
        <v>66</v>
      </c>
    </row>
    <row r="24" ht="15.75" customHeight="1">
      <c r="A24" s="30"/>
      <c r="B24" s="25"/>
      <c r="C24" s="33"/>
      <c r="D24" s="34"/>
      <c r="E24" s="19"/>
      <c r="F24" s="19"/>
      <c r="G24" s="27"/>
      <c r="H24" s="28" t="s">
        <v>36</v>
      </c>
      <c r="I24" s="28">
        <v>0.0</v>
      </c>
      <c r="J24" s="32">
        <f t="shared" si="3"/>
        <v>89.9991</v>
      </c>
      <c r="K24" s="29">
        <f>J24+(OFFSET($B$4,$I24,0)+1)*inst_ns</f>
        <v>93.3324</v>
      </c>
      <c r="L24" s="28" t="s">
        <v>37</v>
      </c>
    </row>
    <row r="25">
      <c r="A25" s="30"/>
      <c r="B25" s="25"/>
      <c r="C25" s="33"/>
      <c r="D25" s="34"/>
      <c r="E25" s="19"/>
      <c r="F25" s="19"/>
      <c r="G25" s="35"/>
      <c r="H25" s="28" t="s">
        <v>38</v>
      </c>
      <c r="I25" s="28">
        <v>0.0</v>
      </c>
      <c r="J25" s="29">
        <f t="shared" si="3"/>
        <v>93.3324</v>
      </c>
      <c r="K25" s="29">
        <f>J25+(OFFSET($B$4,$I25,0)+1)*inst_ns</f>
        <v>96.6657</v>
      </c>
      <c r="L25" s="28" t="s">
        <v>67</v>
      </c>
    </row>
    <row r="26" ht="15.75" customHeight="1">
      <c r="A26" s="30"/>
      <c r="B26" s="25"/>
      <c r="C26" s="33"/>
      <c r="D26" s="34"/>
      <c r="E26" s="19"/>
      <c r="F26" s="19"/>
      <c r="G26" s="35"/>
      <c r="H26" s="28" t="s">
        <v>68</v>
      </c>
      <c r="I26" s="28">
        <v>7.0</v>
      </c>
      <c r="J26" s="29">
        <f t="shared" si="3"/>
        <v>96.6657</v>
      </c>
      <c r="K26" s="29">
        <f>J26+(OFFSET($B$4,$I26,0)+1)*inst_ns</f>
        <v>113.3322</v>
      </c>
      <c r="L26" s="28" t="s">
        <v>69</v>
      </c>
    </row>
    <row r="27" ht="15.75" customHeight="1">
      <c r="A27" s="30"/>
      <c r="B27" s="25"/>
      <c r="C27" s="33"/>
      <c r="D27" s="34"/>
      <c r="E27" s="19"/>
      <c r="F27" s="19"/>
      <c r="G27" s="35"/>
      <c r="H27" s="28" t="s">
        <v>70</v>
      </c>
      <c r="I27" s="28">
        <v>8.0</v>
      </c>
      <c r="J27" s="29">
        <f t="shared" si="3"/>
        <v>113.3322</v>
      </c>
      <c r="K27" s="29">
        <f>J27+(OFFSET($B$4,$I27,0)+1)*inst_ns</f>
        <v>116.6655</v>
      </c>
      <c r="L27" s="28" t="s">
        <v>71</v>
      </c>
    </row>
    <row r="28" ht="15.75" customHeight="1">
      <c r="A28" s="30"/>
      <c r="B28" s="25"/>
      <c r="C28" s="33"/>
      <c r="D28" s="34"/>
      <c r="E28" s="19"/>
      <c r="F28" s="19"/>
      <c r="G28" s="35"/>
      <c r="H28" s="28" t="s">
        <v>72</v>
      </c>
      <c r="I28" s="28">
        <v>9.0</v>
      </c>
      <c r="J28" s="29">
        <f t="shared" si="3"/>
        <v>116.6655</v>
      </c>
      <c r="K28" s="29">
        <f>J28+(OFFSET($B$4,$I28,0)+1)*inst_ns</f>
        <v>119.9988</v>
      </c>
      <c r="L28" s="28" t="s">
        <v>73</v>
      </c>
    </row>
    <row r="29" ht="15.75" customHeight="1">
      <c r="A29" s="30"/>
      <c r="B29" s="25"/>
      <c r="C29" s="37"/>
      <c r="D29" s="38"/>
      <c r="E29" s="19"/>
      <c r="F29" s="19"/>
      <c r="G29" s="35"/>
      <c r="H29" s="28" t="s">
        <v>74</v>
      </c>
      <c r="I29" s="28">
        <v>10.0</v>
      </c>
      <c r="J29" s="29">
        <f t="shared" si="3"/>
        <v>119.9988</v>
      </c>
      <c r="K29" s="29">
        <f>J29+(OFFSET($B$4,$I29,0)+1)*inst_ns</f>
        <v>123.3321</v>
      </c>
      <c r="L29" s="28" t="s">
        <v>73</v>
      </c>
    </row>
    <row r="30" ht="15.75" customHeight="1">
      <c r="A30" s="30" t="s">
        <v>75</v>
      </c>
      <c r="B30" s="39">
        <v>-7.0</v>
      </c>
      <c r="C30" s="40"/>
      <c r="D30" s="41"/>
      <c r="E30" s="19"/>
      <c r="F30" s="19"/>
      <c r="G30" s="35"/>
      <c r="H30" s="28" t="s">
        <v>47</v>
      </c>
      <c r="I30" s="28">
        <v>0.0</v>
      </c>
      <c r="J30" s="32">
        <f t="shared" si="3"/>
        <v>123.3321</v>
      </c>
      <c r="K30" s="29">
        <f>J30+(OFFSET($B$4,$I30,0)+1)*inst_ns</f>
        <v>126.6654</v>
      </c>
      <c r="L30" s="28" t="s">
        <v>76</v>
      </c>
    </row>
    <row r="31" ht="15.75" customHeight="1">
      <c r="E31" s="26"/>
      <c r="F31" s="26"/>
      <c r="G31" s="35"/>
      <c r="H31" s="35"/>
      <c r="I31" s="35"/>
      <c r="J31" s="35"/>
      <c r="K31" s="35"/>
      <c r="L31" s="35"/>
    </row>
    <row r="32">
      <c r="A32" s="19"/>
      <c r="B32" s="19"/>
      <c r="C32" s="19"/>
      <c r="D32" s="19"/>
      <c r="E32" s="26"/>
      <c r="F32" s="26"/>
      <c r="G32" s="27"/>
      <c r="H32" s="28"/>
      <c r="I32" s="28"/>
      <c r="J32" s="42"/>
      <c r="K32" s="28"/>
      <c r="L32" s="28"/>
    </row>
    <row r="33">
      <c r="A33" s="43" t="s">
        <v>77</v>
      </c>
      <c r="B33" s="44"/>
      <c r="C33" s="44"/>
      <c r="D33" s="45"/>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6:B16"/>
    <mergeCell ref="A33:D33"/>
  </mergeCells>
  <conditionalFormatting sqref="D18">
    <cfRule type="expression" dxfId="0" priority="1">
      <formula>D18&lt;C18</formula>
    </cfRule>
  </conditionalFormatting>
  <conditionalFormatting sqref="D17">
    <cfRule type="expression" dxfId="0" priority="2">
      <formula>D17&lt;C17</formula>
    </cfRule>
  </conditionalFormatting>
  <conditionalFormatting sqref="D24">
    <cfRule type="expression" dxfId="0" priority="3">
      <formula>D24&lt;C24</formula>
    </cfRule>
  </conditionalFormatting>
  <conditionalFormatting sqref="D23">
    <cfRule type="expression" dxfId="0" priority="4">
      <formula>D23&lt;C23</formula>
    </cfRule>
  </conditionalFormatting>
  <conditionalFormatting sqref="D27">
    <cfRule type="expression" dxfId="0" priority="5">
      <formula>D27&lt;C27</formula>
    </cfRule>
  </conditionalFormatting>
  <conditionalFormatting sqref="D28">
    <cfRule type="expression" dxfId="0" priority="6">
      <formula>D28&lt;C28</formula>
    </cfRule>
  </conditionalFormatting>
  <conditionalFormatting sqref="D29">
    <cfRule type="expression" dxfId="1" priority="7">
      <formula>D29&lt;C29</formula>
    </cfRule>
  </conditionalFormatting>
  <conditionalFormatting sqref="D25">
    <cfRule type="expression" dxfId="0" priority="8">
      <formula>D25&lt;C25</formula>
    </cfRule>
  </conditionalFormatting>
  <conditionalFormatting sqref="D26">
    <cfRule type="expression" dxfId="1" priority="9">
      <formula>D26&lt;C26</formula>
    </cfRule>
  </conditionalFormatting>
  <conditionalFormatting sqref="D19">
    <cfRule type="expression" dxfId="0" priority="10">
      <formula>D19&lt;C19</formula>
    </cfRule>
  </conditionalFormatting>
  <conditionalFormatting sqref="D20">
    <cfRule type="expression" dxfId="0" priority="11">
      <formula>D20&lt;C20</formula>
    </cfRule>
  </conditionalFormatting>
  <conditionalFormatting sqref="D21">
    <cfRule type="expression" dxfId="0" priority="12">
      <formula>D21&lt;C21</formula>
    </cfRule>
  </conditionalFormatting>
  <conditionalFormatting sqref="D22">
    <cfRule type="expression" dxfId="0" priority="13">
      <formula>D22&lt;C22</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