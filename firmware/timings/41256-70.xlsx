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<sst xmlns="http://schemas.openxmlformats.org/spreadsheetml/2006/main" count="97" uniqueCount="92">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</sst>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56.6661</v>
      </c>
      <c r="L5" s="25" t="s">
        <v>20</v>
      </c>
    </row>
    <row r="6" ht="15.75" customHeight="1">
      <c r="A6" s="28">
        <v>2.0</v>
      </c>
      <c r="B6" s="29">
        <v>10.0</v>
      </c>
      <c r="C6" s="24"/>
      <c r="D6" s="24"/>
      <c r="E6" s="24"/>
      <c r="F6" s="24"/>
      <c r="G6" s="23"/>
      <c r="H6" s="25" t="s">
        <v>21</v>
      </c>
      <c r="I6" s="25">
        <v>0.0</v>
      </c>
      <c r="J6" s="26">
        <f t="shared" si="1"/>
        <v>56.6661</v>
      </c>
      <c r="K6" s="27">
        <f>J6+(OFFSET($B$4,$I6,0)+1)*cmd_time</f>
        <v>59.9994</v>
      </c>
      <c r="L6" s="25" t="s">
        <v>22</v>
      </c>
    </row>
    <row r="7" ht="15.75" customHeight="1">
      <c r="A7" s="28">
        <v>3.0</v>
      </c>
      <c r="B7" s="29">
        <v>3.0</v>
      </c>
      <c r="C7" s="24"/>
      <c r="D7" s="24"/>
      <c r="E7" s="24"/>
      <c r="F7" s="24"/>
      <c r="G7" s="23"/>
      <c r="H7" s="25" t="s">
        <v>23</v>
      </c>
      <c r="I7" s="25">
        <v>0.0</v>
      </c>
      <c r="J7" s="26">
        <f t="shared" si="1"/>
        <v>59.9994</v>
      </c>
      <c r="K7" s="27">
        <f>J7+(OFFSET($B$4,$I7,0)+1)*cmd_time</f>
        <v>63.3327</v>
      </c>
      <c r="L7" s="25" t="s">
        <v>24</v>
      </c>
    </row>
    <row r="8" ht="15.75" customHeight="1">
      <c r="A8" s="28">
        <v>4.0</v>
      </c>
      <c r="B8" s="29">
        <v>5.0</v>
      </c>
      <c r="C8" s="24"/>
      <c r="D8" s="24"/>
      <c r="E8" s="24"/>
      <c r="F8" s="24"/>
      <c r="G8" s="23"/>
      <c r="H8" s="25" t="s">
        <v>25</v>
      </c>
      <c r="I8" s="25">
        <v>3.0</v>
      </c>
      <c r="J8" s="26">
        <f t="shared" si="1"/>
        <v>63.3327</v>
      </c>
      <c r="K8" s="27">
        <f>J8+(OFFSET($B$4,$I8,0)+1)*cmd_time</f>
        <v>76.6659</v>
      </c>
      <c r="L8" s="25" t="s">
        <v>26</v>
      </c>
    </row>
    <row r="9" ht="15.75" customHeight="1">
      <c r="A9" s="28">
        <v>5.0</v>
      </c>
      <c r="B9" s="29">
        <v>2.0</v>
      </c>
      <c r="C9" s="24"/>
      <c r="D9" s="24"/>
      <c r="E9" s="24"/>
      <c r="F9" s="24"/>
      <c r="G9" s="23" t="s">
        <v>27</v>
      </c>
      <c r="H9" s="25" t="s">
        <v>28</v>
      </c>
      <c r="I9" s="25">
        <v>0.0</v>
      </c>
      <c r="J9" s="26">
        <f t="shared" si="1"/>
        <v>76.6659</v>
      </c>
      <c r="K9" s="27">
        <f>J9+(OFFSET($B$4,$I9,0)+1)*cmd_time</f>
        <v>79.9992</v>
      </c>
      <c r="L9" s="25" t="s">
        <v>29</v>
      </c>
    </row>
    <row r="10" ht="15.75" customHeight="1">
      <c r="A10" s="28">
        <v>6.0</v>
      </c>
      <c r="B10" s="23">
        <v>0.0</v>
      </c>
      <c r="C10" s="24"/>
      <c r="D10" s="24"/>
      <c r="E10" s="24"/>
      <c r="F10" s="24"/>
      <c r="G10" s="23"/>
      <c r="H10" s="25" t="s">
        <v>30</v>
      </c>
      <c r="I10" s="25">
        <v>0.0</v>
      </c>
      <c r="J10" s="26">
        <f t="shared" si="1"/>
        <v>79.9992</v>
      </c>
      <c r="K10" s="27">
        <f>J10+(OFFSET($B$4,$I10,0)+1)*cmd_time</f>
        <v>83.3325</v>
      </c>
      <c r="L10" s="25" t="s">
        <v>31</v>
      </c>
    </row>
    <row r="11" ht="15.75" customHeight="1">
      <c r="A11" s="28">
        <v>7.0</v>
      </c>
      <c r="B11" s="23">
        <v>0.0</v>
      </c>
      <c r="C11" s="24"/>
      <c r="D11" s="24"/>
      <c r="E11" s="24"/>
      <c r="F11" s="24"/>
      <c r="G11" s="23"/>
      <c r="H11" s="25" t="s">
        <v>32</v>
      </c>
      <c r="I11" s="25">
        <v>0.0</v>
      </c>
      <c r="J11" s="30">
        <f t="shared" si="1"/>
        <v>83.3325</v>
      </c>
      <c r="K11" s="27">
        <f>J11+(OFFSET($B$4,$I11,0)+1)*cmd_time</f>
        <v>86.6658</v>
      </c>
      <c r="L11" s="25" t="s">
        <v>33</v>
      </c>
    </row>
    <row r="12" ht="15.75" customHeight="1">
      <c r="A12" s="24"/>
      <c r="B12" s="24"/>
      <c r="C12" s="24"/>
      <c r="D12" s="24" t="s">
        <v>5</v>
      </c>
      <c r="E12" s="24"/>
      <c r="F12" s="24"/>
      <c r="G12" s="23"/>
      <c r="H12" s="25" t="s">
        <v>34</v>
      </c>
      <c r="I12" s="25">
        <v>0.0</v>
      </c>
      <c r="J12" s="26">
        <f t="shared" si="1"/>
        <v>86.6658</v>
      </c>
      <c r="K12" s="27">
        <f>J12+(OFFSET($B$4,$I12,0)+1)*cmd_time</f>
        <v>89.9991</v>
      </c>
      <c r="L12" s="25" t="s">
        <v>35</v>
      </c>
    </row>
    <row r="13" ht="15.75" customHeight="1">
      <c r="A13" s="9" t="s">
        <v>36</v>
      </c>
      <c r="B13" s="10"/>
      <c r="C13" s="16" t="s">
        <v>37</v>
      </c>
      <c r="D13" s="16" t="s">
        <v>38</v>
      </c>
      <c r="E13" s="19"/>
      <c r="F13" s="19"/>
      <c r="G13" s="23" t="s">
        <v>39</v>
      </c>
      <c r="H13" s="25" t="s">
        <v>40</v>
      </c>
      <c r="I13" s="25">
        <v>0.0</v>
      </c>
      <c r="J13" s="31">
        <f>K10</f>
        <v>83.3325</v>
      </c>
      <c r="K13" s="27">
        <f>J13+(OFFSET($B$4,$I13,0)+1)*cmd_time</f>
        <v>86.6658</v>
      </c>
      <c r="L13" s="25" t="s">
        <v>41</v>
      </c>
    </row>
    <row r="14" ht="15.75" customHeight="1">
      <c r="A14" s="28" t="s">
        <v>42</v>
      </c>
      <c r="B14" s="29">
        <v>60.0</v>
      </c>
      <c r="C14" s="32">
        <f>B14 + (B14 * tolerance/100)</f>
        <v>55.8</v>
      </c>
      <c r="D14" s="33">
        <f>ROUND(ras_low_start - ras_high_end,1)</f>
        <v>56.7</v>
      </c>
      <c r="E14" s="19"/>
      <c r="F14" s="19"/>
      <c r="G14" s="23"/>
      <c r="H14" s="25" t="s">
        <v>43</v>
      </c>
      <c r="I14" s="25">
        <v>0.0</v>
      </c>
      <c r="J14" s="34">
        <f>K13</f>
        <v>86.6658</v>
      </c>
      <c r="K14" s="27">
        <f>J14+(OFFSET($B$4,$I14,0)+1)*cmd_time</f>
        <v>89.9991</v>
      </c>
      <c r="L14" s="25" t="s">
        <v>44</v>
      </c>
    </row>
    <row r="15" ht="15.75" customHeight="1">
      <c r="A15" s="28" t="s">
        <v>45</v>
      </c>
      <c r="B15" s="23">
        <v>15.0</v>
      </c>
      <c r="C15" s="32">
        <f>B15 + (B15 * tolerance/100)</f>
        <v>13.95</v>
      </c>
      <c r="D15" s="33">
        <f>ROUND(asc_start - ras_low_end, 1)</f>
        <v>13.3</v>
      </c>
      <c r="E15" s="19"/>
      <c r="F15" s="19"/>
      <c r="G15" s="23" t="s">
        <v>46</v>
      </c>
      <c r="H15" s="25" t="s">
        <v>47</v>
      </c>
      <c r="I15" s="25">
        <v>0.0</v>
      </c>
      <c r="J15" s="26">
        <f>K12</f>
        <v>89.9991</v>
      </c>
      <c r="K15" s="27">
        <f>J15+(OFFSET($B$4,$I15,0)+1)*cmd_time</f>
        <v>93.3324</v>
      </c>
      <c r="L15" s="25" t="s">
        <v>48</v>
      </c>
    </row>
    <row r="16" ht="15.75" customHeight="1">
      <c r="A16" s="28" t="s">
        <v>49</v>
      </c>
      <c r="B16" s="23">
        <v>25.0</v>
      </c>
      <c r="C16" s="32">
        <f>B16 + (B16 * tolerance/100)</f>
        <v>23.25</v>
      </c>
      <c r="D16" s="33">
        <f>ROUND(max(cas_low_start_w-cas_high_end,cas_low_start_r-cas_high_end),1)</f>
        <v>80</v>
      </c>
      <c r="E16" s="19"/>
      <c r="F16" s="19"/>
      <c r="G16" s="23"/>
      <c r="H16" s="25" t="s">
        <v>50</v>
      </c>
      <c r="I16" s="25">
        <v>4.0</v>
      </c>
      <c r="J16" s="26">
        <f t="shared" ref="J16:J24" si="2">K15</f>
        <v>93.3324</v>
      </c>
      <c r="K16" s="27">
        <f>J16+(OFFSET($B$4,$I16,0)+1)*cmd_time</f>
        <v>113.3322</v>
      </c>
      <c r="L16" s="25" t="s">
        <v>51</v>
      </c>
    </row>
    <row r="17" ht="15.75" customHeight="1">
      <c r="A17" s="28" t="s">
        <v>52</v>
      </c>
      <c r="B17" s="23">
        <v>20.0</v>
      </c>
      <c r="C17" s="32">
        <f>B17 + (B17 * tolerance/100)</f>
        <v>18.6</v>
      </c>
      <c r="D17" s="33">
        <f>ROUND(cas_low_start_w - ras_low_end,1)</f>
        <v>20</v>
      </c>
      <c r="E17" s="19"/>
      <c r="F17" s="19"/>
      <c r="G17" s="23"/>
      <c r="H17" s="25" t="s">
        <v>40</v>
      </c>
      <c r="I17" s="25">
        <v>0.0</v>
      </c>
      <c r="J17" s="26">
        <f t="shared" si="2"/>
        <v>113.3322</v>
      </c>
      <c r="K17" s="27">
        <f>J17+(OFFSET($B$4,$I17,0)+1)*cmd_time</f>
        <v>116.6655</v>
      </c>
      <c r="L17" s="25" t="s">
        <v>53</v>
      </c>
    </row>
    <row r="18" ht="15.75" customHeight="1">
      <c r="A18" s="28" t="s">
        <v>54</v>
      </c>
      <c r="B18" s="29">
        <v>35.0</v>
      </c>
      <c r="C18" s="32">
        <f>B18 + (B18 * tolerance/100)</f>
        <v>32.55</v>
      </c>
      <c r="D18" s="33">
        <f>ROUND(cas_low_start_w - ras_low_end,1)</f>
        <v>20</v>
      </c>
      <c r="E18" s="19"/>
      <c r="F18" s="19"/>
      <c r="G18" s="23"/>
      <c r="H18" s="25" t="s">
        <v>28</v>
      </c>
      <c r="I18" s="25">
        <v>0.0</v>
      </c>
      <c r="J18" s="26">
        <f t="shared" si="2"/>
        <v>116.6655</v>
      </c>
      <c r="K18" s="27">
        <f>J18+(OFFSET($B$4,$I18,0)+1)*cmd_time</f>
        <v>119.9988</v>
      </c>
      <c r="L18" s="25" t="s">
        <v>55</v>
      </c>
    </row>
    <row r="19" ht="15.75" customHeight="1">
      <c r="A19" s="28" t="s">
        <v>56</v>
      </c>
      <c r="B19" s="35">
        <v>15.0</v>
      </c>
      <c r="C19" s="32">
        <f>B19 + (B19 * tolerance/100)</f>
        <v>13.95</v>
      </c>
      <c r="D19" s="33">
        <f>ROUND(w_high_start_2 - cas_low_end_w, 1)</f>
        <v>26.7</v>
      </c>
      <c r="E19" s="19"/>
      <c r="F19" s="19"/>
      <c r="G19" s="23"/>
      <c r="H19" s="25" t="s">
        <v>57</v>
      </c>
      <c r="I19" s="25">
        <v>5.0</v>
      </c>
      <c r="J19" s="26">
        <f t="shared" si="2"/>
        <v>119.9988</v>
      </c>
      <c r="K19" s="27">
        <f>J19+(OFFSET($B$4,$I19,0)+1)*cmd_time</f>
        <v>129.9987</v>
      </c>
      <c r="L19" s="25" t="s">
        <v>58</v>
      </c>
    </row>
    <row r="20" ht="15.75" customHeight="1">
      <c r="A20" s="28" t="s">
        <v>59</v>
      </c>
      <c r="B20" s="29">
        <v>15.0</v>
      </c>
      <c r="C20" s="32">
        <f>B20 + (B20 * tolerance/100)</f>
        <v>13.95</v>
      </c>
      <c r="D20" s="33">
        <f>ROUND(w_high_start_2 - w_low_end, 1)</f>
        <v>26.7</v>
      </c>
      <c r="E20" s="19"/>
      <c r="F20" s="19"/>
      <c r="G20" s="23"/>
      <c r="H20" s="25" t="s">
        <v>60</v>
      </c>
      <c r="I20" s="25">
        <v>0.0</v>
      </c>
      <c r="J20" s="26">
        <f t="shared" si="2"/>
        <v>129.9987</v>
      </c>
      <c r="K20" s="27">
        <f>J20+(OFFSET($B$4,$I20,0)+1)*cmd_time</f>
        <v>133.332</v>
      </c>
      <c r="L20" s="25" t="s">
        <v>61</v>
      </c>
    </row>
    <row r="21" ht="15.75" customHeight="1">
      <c r="A21" s="28" t="s">
        <v>62</v>
      </c>
      <c r="B21" s="29">
        <v>55.0</v>
      </c>
      <c r="C21" s="32">
        <f>B21 + (B21 * tolerance/100)</f>
        <v>51.15</v>
      </c>
      <c r="D21" s="33">
        <f>ROUND(w_high_start_2 - ras_low_end, 1)</f>
        <v>50</v>
      </c>
      <c r="E21" s="19"/>
      <c r="F21" s="19"/>
      <c r="G21" s="23"/>
      <c r="H21" s="25" t="s">
        <v>23</v>
      </c>
      <c r="I21" s="25">
        <v>0.0</v>
      </c>
      <c r="J21" s="26">
        <f t="shared" si="2"/>
        <v>133.332</v>
      </c>
      <c r="K21" s="27">
        <f>J21+(OFFSET($B$4,$I21,0)+1)*cmd_time</f>
        <v>136.6653</v>
      </c>
      <c r="L21" s="25" t="s">
        <v>63</v>
      </c>
    </row>
    <row r="22" ht="15.75" customHeight="1">
      <c r="A22" s="28" t="s">
        <v>64</v>
      </c>
      <c r="B22" s="23">
        <v>15.0</v>
      </c>
      <c r="C22" s="32">
        <f>B22 + (B22 * tolerance/100)</f>
        <v>13.95</v>
      </c>
      <c r="D22" s="33">
        <f>ROUND(col_clear_start - cas_low_end_w, 1)</f>
        <v>30</v>
      </c>
      <c r="E22" s="19"/>
      <c r="F22" s="19"/>
      <c r="G22" s="23"/>
      <c r="H22" s="25" t="s">
        <v>65</v>
      </c>
      <c r="I22" s="25">
        <v>0.0</v>
      </c>
      <c r="J22" s="26">
        <f t="shared" si="2"/>
        <v>136.6653</v>
      </c>
      <c r="K22" s="27">
        <f>J22+(OFFSET($B$4,$I22,0)+1)*cmd_time</f>
        <v>139.9986</v>
      </c>
      <c r="L22" s="25"/>
    </row>
    <row r="23" ht="15.75" customHeight="1">
      <c r="A23" s="28" t="s">
        <v>66</v>
      </c>
      <c r="B23" s="29">
        <v>50.0</v>
      </c>
      <c r="C23" s="32">
        <f>B23 + (B23 * tolerance/100)</f>
        <v>46.5</v>
      </c>
      <c r="D23" s="36">
        <f>round(d_clear_start - ras_low_end, 1)</f>
        <v>53.3</v>
      </c>
      <c r="E23" s="19"/>
      <c r="F23" s="19"/>
      <c r="G23" s="23"/>
      <c r="H23" s="25" t="s">
        <v>67</v>
      </c>
      <c r="I23" s="25">
        <v>6.0</v>
      </c>
      <c r="J23" s="26">
        <f t="shared" si="2"/>
        <v>139.9986</v>
      </c>
      <c r="K23" s="27">
        <f>J23+(OFFSET($B$4,$I23,0)+1)*cmd_time</f>
        <v>143.3319</v>
      </c>
      <c r="L23" s="25" t="s">
        <v>68</v>
      </c>
    </row>
    <row r="24" ht="15.75" customHeight="1">
      <c r="A24" s="28" t="s">
        <v>69</v>
      </c>
      <c r="B24" s="29">
        <v>70.0</v>
      </c>
      <c r="C24" s="32">
        <f>B24 + (B24 * tolerance/100)</f>
        <v>65.1</v>
      </c>
      <c r="D24" s="33">
        <f>ROUND(valid_data_start -ras_low_end, 1)</f>
        <v>66.7</v>
      </c>
      <c r="E24" s="19"/>
      <c r="F24" s="19"/>
      <c r="G24" s="23"/>
      <c r="H24" s="25" t="s">
        <v>70</v>
      </c>
      <c r="I24" s="25">
        <v>0.0</v>
      </c>
      <c r="J24" s="26">
        <f t="shared" si="2"/>
        <v>143.3319</v>
      </c>
      <c r="K24" s="27">
        <f>J24+(OFFSET($B$4,$I24,0)+1)*cmd_time</f>
        <v>146.6652</v>
      </c>
      <c r="L24" s="37" t="s">
        <v>71</v>
      </c>
    </row>
    <row r="25">
      <c r="A25" s="28" t="s">
        <v>72</v>
      </c>
      <c r="B25" s="29">
        <v>35.0</v>
      </c>
      <c r="C25" s="32">
        <f>B25 + (B25 * tolerance/100)</f>
        <v>32.55</v>
      </c>
      <c r="D25" s="33">
        <f>ROUND(cas_high_start - cas_low_end_w, 1)</f>
        <v>46.7</v>
      </c>
      <c r="E25" s="19"/>
      <c r="F25" s="19"/>
      <c r="G25" s="23"/>
      <c r="H25" s="25" t="s">
        <v>73</v>
      </c>
      <c r="I25" s="25">
        <v>0.0</v>
      </c>
      <c r="J25" s="38">
        <v>0.0</v>
      </c>
      <c r="K25" s="39">
        <f>J25+cmd_time</f>
        <v>3.3333</v>
      </c>
      <c r="L25" s="25"/>
    </row>
    <row r="26" ht="15.75" customHeight="1">
      <c r="A26" s="28" t="s">
        <v>74</v>
      </c>
      <c r="B26" s="29">
        <v>70.0</v>
      </c>
      <c r="C26" s="32">
        <f>B26 + (B26 * tolerance/100)</f>
        <v>65.1</v>
      </c>
      <c r="D26" s="33">
        <f>ROUND(cas_high_start - ras_low_end,1)</f>
        <v>70</v>
      </c>
      <c r="E26" s="19"/>
      <c r="F26" s="19"/>
      <c r="G26" s="23" t="s">
        <v>75</v>
      </c>
      <c r="H26" s="25" t="s">
        <v>76</v>
      </c>
      <c r="I26" s="25">
        <v>0.0</v>
      </c>
      <c r="J26" s="26">
        <v>0.0</v>
      </c>
      <c r="K26" s="27">
        <f>J26+(OFFSET($B$4,$I26,0)+1)*cmd_time</f>
        <v>3.3333</v>
      </c>
      <c r="L26" s="25" t="s">
        <v>77</v>
      </c>
    </row>
    <row r="27" ht="15.75" customHeight="1">
      <c r="A27" s="28" t="s">
        <v>78</v>
      </c>
      <c r="B27" s="29">
        <v>15.0</v>
      </c>
      <c r="C27" s="32">
        <f>B27 + (B27 * tolerance/100)</f>
        <v>13.95</v>
      </c>
      <c r="D27" s="33">
        <f>round(cas_high_start - w_low_end, 1)</f>
        <v>46.7</v>
      </c>
      <c r="E27" s="19"/>
      <c r="F27" s="19"/>
      <c r="G27" s="23" t="s">
        <v>79</v>
      </c>
      <c r="H27" s="25" t="s">
        <v>80</v>
      </c>
      <c r="I27" s="25">
        <v>0.0</v>
      </c>
      <c r="J27" s="26">
        <f t="shared" ref="J27:J30" si="3">K26</f>
        <v>3.3333</v>
      </c>
      <c r="K27" s="27">
        <f>J27+(OFFSET($B$4,$I27,0)+1)*cmd_time</f>
        <v>6.6666</v>
      </c>
      <c r="L27" s="25"/>
    </row>
    <row r="28" ht="15.75" customHeight="1">
      <c r="A28" s="28" t="s">
        <v>81</v>
      </c>
      <c r="B28" s="29">
        <v>70.0</v>
      </c>
      <c r="C28" s="32">
        <f>B28 + (B28 * tolerance/100)</f>
        <v>65.1</v>
      </c>
      <c r="D28" s="33">
        <f>ROUND(ras_high_start - ras_low_end, 1)</f>
        <v>83.3</v>
      </c>
      <c r="E28" s="19"/>
      <c r="F28" s="19"/>
      <c r="G28" s="23"/>
      <c r="H28" s="25" t="s">
        <v>82</v>
      </c>
      <c r="I28" s="25">
        <v>0.0</v>
      </c>
      <c r="J28" s="26">
        <f t="shared" si="3"/>
        <v>6.6666</v>
      </c>
      <c r="K28" s="27">
        <f>J28+(OFFSET($B$4,$I28,0)+1)*cmd_time</f>
        <v>9.9999</v>
      </c>
      <c r="L28" s="25"/>
    </row>
    <row r="29" ht="15.75" customHeight="1">
      <c r="A29" s="28" t="s">
        <v>83</v>
      </c>
      <c r="B29" s="29">
        <v>140.0</v>
      </c>
      <c r="C29" s="32">
        <f>B29 + (B29 * tolerance/100)</f>
        <v>130.2</v>
      </c>
      <c r="D29" s="33">
        <f>ras_high_start</f>
        <v>146.6652</v>
      </c>
      <c r="E29" s="19"/>
      <c r="F29" s="19"/>
      <c r="G29" s="23"/>
      <c r="H29" s="25" t="s">
        <v>84</v>
      </c>
      <c r="I29" s="25">
        <v>0.0</v>
      </c>
      <c r="J29" s="26">
        <f t="shared" si="3"/>
        <v>9.9999</v>
      </c>
      <c r="K29" s="27">
        <f>J29+(OFFSET($B$4,$I29,0)+1)*cmd_time</f>
        <v>13.3332</v>
      </c>
      <c r="L29" s="25"/>
    </row>
    <row r="30" ht="15.75" customHeight="1">
      <c r="A30" s="28" t="s">
        <v>85</v>
      </c>
      <c r="B30" s="23">
        <v>30.0</v>
      </c>
      <c r="C30" s="40">
        <f>B30 + (B30 * tolerance/100)</f>
        <v>27.9</v>
      </c>
      <c r="D30" s="41">
        <f>round(ras_high_start - w_low_end, 1)</f>
        <v>60</v>
      </c>
      <c r="E30" s="19"/>
      <c r="F30" s="19"/>
      <c r="G30" s="23"/>
      <c r="H30" s="25" t="s">
        <v>86</v>
      </c>
      <c r="I30" s="25">
        <v>0.0</v>
      </c>
      <c r="J30" s="26">
        <f t="shared" si="3"/>
        <v>13.3332</v>
      </c>
      <c r="K30" s="27">
        <f>J30+(OFFSET($B$4,$I30,0)+1)*cmd_time</f>
        <v>16.6665</v>
      </c>
      <c r="L30" s="25"/>
    </row>
    <row r="31" ht="15.75" customHeight="1">
      <c r="A31" s="28" t="s">
        <v>87</v>
      </c>
      <c r="B31" s="42">
        <v>-7.0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