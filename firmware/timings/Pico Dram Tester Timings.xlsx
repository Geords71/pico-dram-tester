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Notes" sheetId="1" state="visible" r:id="rId3"/>
    <sheet name="4164 - 100ns" sheetId="2" state="visible" r:id="rId4"/>
    <sheet name="4164 - 120ns" sheetId="3" state="visible" r:id="rId5"/>
    <sheet name="4164 - 150ns" sheetId="4" state="visible" r:id="rId6"/>
    <sheet name="4816 - 100ns" sheetId="5" state="visible" r:id="rId7"/>
    <sheet name="4816 - 120ns" sheetId="6" state="visible" r:id="rId8"/>
    <sheet name="4816 - 150ns" sheetId="7" state="visible" r:id="rId9"/>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<sst xmlns="http://schemas.openxmlformats.org/spreadsheetml/2006/main" count="510" uniqueCount="85">
  <si>
    <t xml:space="preserve">#</t>
  </si>
  <si>
    <t xml:space="preserve">Notes</t>
  </si>
  <si>
    <t xml:space="preserve">These sheets share a common format. Everything left and below of D3 should be indentical formulas and formatting.</t>
  </si>
  <si>
    <t xml:space="preserve">To use a sheet, the idea is to zero out the all the 'Delays' values and then progressively increase each one in order until all the timing cells between the relevant nop instructions are white. </t>
  </si>
  <si>
    <t xml:space="preserve">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</si>
  <si>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</si>
  <si>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 xml:space="preserve">Delays</t>
  </si>
  <si>
    <t xml:space="preserve">'Indeterminate' Data Out Write Cycle.</t>
  </si>
  <si>
    <t xml:space="preserve">Index</t>
  </si>
  <si>
    <t xml:space="preserve">Cycles</t>
  </si>
  <si>
    <t xml:space="preserve">Label</t>
  </si>
  <si>
    <t xml:space="preserve">Instruction</t>
  </si>
  <si>
    <t xml:space="preserve">Delay</t>
  </si>
  <si>
    <t xml:space="preserve">Start ns</t>
  </si>
  <si>
    <t xml:space="preserve">End ns</t>
  </si>
  <si>
    <t xml:space="preserve">full_transfer:</t>
  </si>
  <si>
    <t xml:space="preserve">nop [1]</t>
  </si>
  <si>
    <t xml:space="preserve">Wait [1]</t>
  </si>
  <si>
    <t xml:space="preserve">nop [2] </t>
  </si>
  <si>
    <t xml:space="preserve">Wait [2]</t>
  </si>
  <si>
    <t xml:space="preserve">out pins, 8</t>
  </si>
  <si>
    <t xml:space="preserve">Set the row address.</t>
  </si>
  <si>
    <t xml:space="preserve">set pins, 0b101</t>
  </si>
  <si>
    <r>
      <rPr>
        <sz val="11"/>
        <color theme="1"/>
        <rFont val="Arial"/>
        <family val="0"/>
        <charset val="1"/>
      </rPr>
      <t xml:space="preserve">Lower RAS.</t>
    </r>
    <r>
      <rPr>
        <b val="true"/>
        <sz val="11"/>
        <color rgb="FFFF0000"/>
        <rFont val="Arial"/>
        <family val="0"/>
        <charset val="1"/>
      </rPr>
      <t xml:space="preserve"> tRP</t>
    </r>
    <r>
      <rPr>
        <b val="true"/>
        <sz val="11"/>
        <color theme="1"/>
        <rFont val="Arial"/>
        <family val="0"/>
        <charset val="1"/>
      </rPr>
      <t xml:space="preserve"> </t>
    </r>
    <r>
      <rPr>
        <sz val="11"/>
        <color theme="1"/>
        <rFont val="Arial"/>
        <family val="0"/>
        <charset val="1"/>
      </rPr>
      <t xml:space="preserve">must be met. Start of </t>
    </r>
    <r>
      <rPr>
        <b val="true"/>
        <sz val="11"/>
        <color theme="1"/>
        <rFont val="Arial"/>
        <family val="0"/>
        <charset val="1"/>
      </rPr>
      <t xml:space="preserve">tRAC, tRAH, tRAS, tRCD and tWCR </t>
    </r>
    <r>
      <rPr>
        <sz val="11"/>
        <color theme="1"/>
        <rFont val="Arial"/>
        <family val="0"/>
        <charset val="1"/>
      </rPr>
      <t xml:space="preserve">timings</t>
    </r>
    <r>
      <rPr>
        <b val="true"/>
        <sz val="11"/>
        <color theme="1"/>
        <rFont val="Arial"/>
        <family val="0"/>
        <charset val="1"/>
      </rPr>
      <t xml:space="preserve">.</t>
    </r>
  </si>
  <si>
    <t xml:space="preserve">nop [3] </t>
  </si>
  <si>
    <t xml:space="preserve">Wait [3]</t>
  </si>
  <si>
    <t xml:space="preserve">cas_only_transfer:</t>
  </si>
  <si>
    <t xml:space="preserve">out pins, 10</t>
  </si>
  <si>
    <r>
      <rPr>
        <sz val="11"/>
        <color theme="1"/>
        <rFont val="Arial"/>
        <family val="0"/>
        <charset val="1"/>
      </rPr>
      <t xml:space="preserve">Set the column address and data bit. Setting the data bit now allows for early and late write scenarios.</t>
    </r>
    <r>
      <rPr>
        <b val="true"/>
        <sz val="11"/>
        <color rgb="FFFF0000"/>
        <rFont val="Arial"/>
        <family val="0"/>
        <charset val="1"/>
      </rPr>
      <t xml:space="preserve"> tRAH</t>
    </r>
    <r>
      <rPr>
        <b val="true"/>
        <sz val="11"/>
        <color rgb="FF0000FF"/>
        <rFont val="Arial"/>
        <family val="0"/>
        <charset val="1"/>
      </rPr>
      <t xml:space="preserve"> </t>
    </r>
    <r>
      <rPr>
        <sz val="11"/>
        <color theme="1"/>
        <rFont val="Arial"/>
        <family val="0"/>
        <charset val="1"/>
      </rPr>
      <t xml:space="preserve">must be met.</t>
    </r>
  </si>
  <si>
    <t xml:space="preserve">jmp !x skip_wr</t>
  </si>
  <si>
    <t xml:space="preserve">Write... or don't...We make sure that the branching paths take the same time.</t>
  </si>
  <si>
    <t xml:space="preserve">set pins, 0b000</t>
  </si>
  <si>
    <r>
      <rPr>
        <sz val="11"/>
        <color theme="1"/>
        <rFont val="Arial"/>
        <family val="0"/>
        <charset val="1"/>
      </rPr>
      <t xml:space="preserve">Lower WR and CAS </t>
    </r>
    <r>
      <rPr>
        <b val="true"/>
        <sz val="11"/>
        <color theme="1"/>
        <rFont val="Arial"/>
        <family val="0"/>
        <charset val="1"/>
      </rPr>
      <t xml:space="preserve">Start of tWP and tWCH and tCAS. </t>
    </r>
    <r>
      <rPr>
        <b val="true"/>
        <sz val="11"/>
        <color rgb="FF0000FF"/>
        <rFont val="Arial"/>
        <family val="0"/>
        <charset val="1"/>
      </rPr>
      <t xml:space="preserve">tCPN</t>
    </r>
    <r>
      <rPr>
        <sz val="11"/>
        <color rgb="FF0000FF"/>
        <rFont val="Arial"/>
        <family val="0"/>
        <charset val="1"/>
      </rPr>
      <t xml:space="preserve"> </t>
    </r>
    <r>
      <rPr>
        <sz val="11"/>
        <color theme="1"/>
        <rFont val="Arial"/>
        <family val="0"/>
        <charset val="1"/>
      </rPr>
      <t xml:space="preserve">must be met. </t>
    </r>
    <r>
      <rPr>
        <b val="true"/>
        <sz val="11"/>
        <color theme="1"/>
        <rFont val="Arial"/>
        <family val="0"/>
        <charset val="1"/>
      </rPr>
      <t xml:space="preserve">If we factor in transition timings, we are perhaps now in Late Write mode with indeterminate data out.</t>
    </r>
  </si>
  <si>
    <t xml:space="preserve">jmp skip_wr2</t>
  </si>
  <si>
    <t xml:space="preserve">Jump back to shared codepath.</t>
  </si>
  <si>
    <t xml:space="preserve">Chip Timings</t>
  </si>
  <si>
    <t xml:space="preserve">skip_wr:</t>
  </si>
  <si>
    <t xml:space="preserve">set pins, 0b001</t>
  </si>
  <si>
    <r>
      <rPr>
        <sz val="11"/>
        <color theme="1"/>
        <rFont val="Arial"/>
        <family val="0"/>
        <charset val="1"/>
      </rPr>
      <t xml:space="preserve">Lower CAS </t>
    </r>
    <r>
      <rPr>
        <b val="true"/>
        <sz val="11"/>
        <color theme="1"/>
        <rFont val="Arial"/>
        <family val="0"/>
        <charset val="1"/>
      </rPr>
      <t xml:space="preserve">Start of tCAH and tCAS.</t>
    </r>
    <r>
      <rPr>
        <b val="true"/>
        <sz val="11"/>
        <color rgb="FFFF0000"/>
        <rFont val="Arial"/>
        <family val="0"/>
        <charset val="1"/>
      </rPr>
      <t xml:space="preserve"> tRCD(min) </t>
    </r>
    <r>
      <rPr>
        <sz val="11"/>
        <color theme="1"/>
        <rFont val="Arial"/>
        <family val="0"/>
        <charset val="1"/>
      </rPr>
      <t xml:space="preserve">and </t>
    </r>
    <r>
      <rPr>
        <b val="true"/>
        <sz val="11"/>
        <color rgb="FF0000FF"/>
        <rFont val="Arial"/>
        <family val="0"/>
        <charset val="1"/>
      </rPr>
      <t xml:space="preserve">tCPN</t>
    </r>
    <r>
      <rPr>
        <b val="true"/>
        <sz val="11"/>
        <color theme="1"/>
        <rFont val="Arial"/>
        <family val="0"/>
        <charset val="1"/>
      </rPr>
      <t xml:space="preserve"> </t>
    </r>
    <r>
      <rPr>
        <sz val="11"/>
        <color theme="1"/>
        <rFont val="Arial"/>
        <family val="0"/>
        <charset val="1"/>
      </rPr>
      <t xml:space="preserve">must be met.</t>
    </r>
    <r>
      <rPr>
        <sz val="11"/>
        <color rgb="FFC27BA0"/>
        <rFont val="Arial"/>
        <family val="0"/>
        <charset val="1"/>
      </rPr>
      <t xml:space="preserve"> </t>
    </r>
    <r>
      <rPr>
        <b val="true"/>
        <sz val="11"/>
        <color rgb="FFFF00FF"/>
        <rFont val="Arial"/>
        <family val="0"/>
        <charset val="1"/>
      </rPr>
      <t xml:space="preserve">tRCD(max)</t>
    </r>
    <r>
      <rPr>
        <b val="true"/>
        <sz val="11"/>
        <color rgb="FF980000"/>
        <rFont val="Arial"/>
        <family val="0"/>
        <charset val="1"/>
      </rPr>
      <t xml:space="preserve"> </t>
    </r>
    <r>
      <rPr>
        <sz val="11"/>
        <color theme="1"/>
        <rFont val="Arial"/>
        <family val="0"/>
        <charset val="1"/>
      </rPr>
      <t xml:space="preserve">must</t>
    </r>
    <r>
      <rPr>
        <b val="true"/>
        <sz val="11"/>
        <color theme="1"/>
        <rFont val="Arial"/>
        <family val="0"/>
        <charset val="1"/>
      </rPr>
      <t xml:space="preserve"> </t>
    </r>
    <r>
      <rPr>
        <sz val="11"/>
        <color theme="1"/>
        <rFont val="Arial"/>
        <family val="0"/>
        <charset val="1"/>
      </rPr>
      <t xml:space="preserve">not (so that tRAC determines data availability later).</t>
    </r>
  </si>
  <si>
    <t xml:space="preserve">tRP</t>
  </si>
  <si>
    <t xml:space="preserve">nop</t>
  </si>
  <si>
    <t xml:space="preserve">Ensure that both branches take the same amount of time.</t>
  </si>
  <si>
    <t xml:space="preserve">tCPN</t>
  </si>
  <si>
    <t xml:space="preserve">skip_wr2:</t>
  </si>
  <si>
    <t xml:space="preserve">mov OSR, NULL</t>
  </si>
  <si>
    <t xml:space="preserve">Blank the State Machine's Output Shift Register.</t>
  </si>
  <si>
    <t xml:space="preserve">tRAC</t>
  </si>
  <si>
    <t xml:space="preserve">nop [4]</t>
  </si>
  <si>
    <t xml:space="preserve">Wait [4]</t>
  </si>
  <si>
    <t xml:space="preserve">tRAH</t>
  </si>
  <si>
    <r>
      <rPr>
        <sz val="11"/>
        <color theme="1"/>
        <rFont val="Arial"/>
        <family val="0"/>
        <charset val="1"/>
      </rPr>
      <t xml:space="preserve">Raise WS. </t>
    </r>
    <r>
      <rPr>
        <b val="true"/>
        <sz val="11"/>
        <color rgb="FFFF0000"/>
        <rFont val="Arial"/>
        <family val="0"/>
        <charset val="1"/>
      </rPr>
      <t xml:space="preserve">tWP</t>
    </r>
    <r>
      <rPr>
        <sz val="11"/>
        <color rgb="FFFF0000"/>
        <rFont val="Arial"/>
        <family val="0"/>
        <charset val="1"/>
      </rPr>
      <t xml:space="preserve">, </t>
    </r>
    <r>
      <rPr>
        <b val="true"/>
        <sz val="11"/>
        <color rgb="FF0000FF"/>
        <rFont val="Arial"/>
        <family val="0"/>
        <charset val="1"/>
      </rPr>
      <t xml:space="preserve">tWCH </t>
    </r>
    <r>
      <rPr>
        <sz val="11"/>
        <color theme="1"/>
        <rFont val="Arial"/>
        <family val="0"/>
        <charset val="1"/>
      </rPr>
      <t xml:space="preserve">and </t>
    </r>
    <r>
      <rPr>
        <b val="true"/>
        <sz val="11"/>
        <color rgb="FF9900FF"/>
        <rFont val="Arial"/>
        <family val="0"/>
        <charset val="1"/>
      </rPr>
      <t xml:space="preserve">tWCR </t>
    </r>
    <r>
      <rPr>
        <sz val="11"/>
        <color theme="1"/>
        <rFont val="Arial"/>
        <family val="0"/>
        <charset val="1"/>
      </rPr>
      <t xml:space="preserve">must be met.</t>
    </r>
  </si>
  <si>
    <t xml:space="preserve">tCAH</t>
  </si>
  <si>
    <r>
      <rPr>
        <sz val="11"/>
        <color theme="1"/>
        <rFont val="Arial"/>
        <family val="0"/>
        <charset val="1"/>
      </rPr>
      <t xml:space="preserve">Clear column address and the write bit (we're OUTing all zeros to the pins).</t>
    </r>
    <r>
      <rPr>
        <b val="true"/>
        <sz val="11"/>
        <color theme="1"/>
        <rFont val="Arial"/>
        <family val="0"/>
        <charset val="1"/>
      </rPr>
      <t xml:space="preserve"> </t>
    </r>
    <r>
      <rPr>
        <b val="true"/>
        <sz val="11"/>
        <color rgb="FFFF0000"/>
        <rFont val="Arial"/>
        <family val="0"/>
        <charset val="1"/>
      </rPr>
      <t xml:space="preserve">tCAH </t>
    </r>
    <r>
      <rPr>
        <sz val="11"/>
        <color theme="1"/>
        <rFont val="Arial"/>
        <family val="0"/>
        <charset val="1"/>
      </rPr>
      <t xml:space="preserve">must be met</t>
    </r>
    <r>
      <rPr>
        <b val="true"/>
        <sz val="11"/>
        <color theme="1"/>
        <rFont val="Arial"/>
        <family val="0"/>
        <charset val="1"/>
      </rPr>
      <t xml:space="preserve"> for read cycles.</t>
    </r>
  </si>
  <si>
    <t xml:space="preserve">tRWD</t>
  </si>
  <si>
    <t xml:space="preserve">nop [5]</t>
  </si>
  <si>
    <t xml:space="preserve">Wait [5]</t>
  </si>
  <si>
    <t xml:space="preserve">tWP</t>
  </si>
  <si>
    <t xml:space="preserve">in pins, 1</t>
  </si>
  <si>
    <r>
      <rPr>
        <sz val="11"/>
        <color theme="1"/>
        <rFont val="Arial"/>
        <family val="0"/>
        <charset val="1"/>
      </rPr>
      <t xml:space="preserve">Read the read data bit into the OSR. </t>
    </r>
    <r>
      <rPr>
        <b val="true"/>
        <sz val="11"/>
        <color rgb="FFFF0000"/>
        <rFont val="Arial"/>
        <family val="0"/>
        <charset val="1"/>
      </rPr>
      <t xml:space="preserve">tRAC</t>
    </r>
    <r>
      <rPr>
        <sz val="11"/>
        <color rgb="FFFF0000"/>
        <rFont val="Arial"/>
        <family val="0"/>
        <charset val="1"/>
      </rPr>
      <t xml:space="preserve"> </t>
    </r>
    <r>
      <rPr>
        <sz val="11"/>
        <color theme="1"/>
        <rFont val="Arial"/>
        <family val="0"/>
        <charset val="1"/>
      </rPr>
      <t xml:space="preserve">must be met. In our configured write mode, Q will be garbage.</t>
    </r>
  </si>
  <si>
    <t xml:space="preserve">tWCH</t>
  </si>
  <si>
    <r>
      <rPr>
        <sz val="11"/>
        <color theme="1"/>
        <rFont val="Arial"/>
        <family val="0"/>
        <charset val="1"/>
      </rPr>
      <t xml:space="preserve">Raise CAS. </t>
    </r>
    <r>
      <rPr>
        <b val="true"/>
        <sz val="11"/>
        <color rgb="FFFF0000"/>
        <rFont val="Arial"/>
        <family val="0"/>
        <charset val="1"/>
      </rPr>
      <t xml:space="preserve">tCAS </t>
    </r>
    <r>
      <rPr>
        <sz val="11"/>
        <color theme="1"/>
        <rFont val="Arial"/>
        <family val="0"/>
        <charset val="1"/>
      </rPr>
      <t xml:space="preserve">must be met.</t>
    </r>
  </si>
  <si>
    <t xml:space="preserve">tRCD(min)</t>
  </si>
  <si>
    <t xml:space="preserve">push noblock</t>
  </si>
  <si>
    <t xml:space="preserve">tRCD(max)</t>
  </si>
  <si>
    <t xml:space="preserve">nop [6]</t>
  </si>
  <si>
    <t xml:space="preserve">Wait [6]</t>
  </si>
  <si>
    <t xml:space="preserve">tRAS</t>
  </si>
  <si>
    <t xml:space="preserve">jmp !y begin</t>
  </si>
  <si>
    <r>
      <rPr>
        <b val="true"/>
        <sz val="11"/>
        <color rgb="FFFF0000"/>
        <rFont val="Arial"/>
        <family val="0"/>
        <charset val="1"/>
      </rPr>
      <t xml:space="preserve">tRAS</t>
    </r>
    <r>
      <rPr>
        <b val="true"/>
        <sz val="11"/>
        <color theme="1"/>
        <rFont val="Arial"/>
        <family val="0"/>
        <charset val="1"/>
      </rPr>
      <t xml:space="preserve"> </t>
    </r>
    <r>
      <rPr>
        <sz val="11"/>
        <color theme="1"/>
        <rFont val="Arial"/>
        <family val="0"/>
        <charset val="1"/>
      </rPr>
      <t xml:space="preserve">and </t>
    </r>
    <r>
      <rPr>
        <b val="true"/>
        <sz val="11"/>
        <color rgb="FF0000FF"/>
        <rFont val="Arial"/>
        <family val="0"/>
        <charset val="1"/>
      </rPr>
      <t xml:space="preserve">tRC </t>
    </r>
    <r>
      <rPr>
        <sz val="11"/>
        <color theme="1"/>
        <rFont val="Arial"/>
        <family val="0"/>
        <charset val="1"/>
      </rPr>
      <t xml:space="preserve">must have been met.</t>
    </r>
  </si>
  <si>
    <t xml:space="preserve">tCAS</t>
  </si>
  <si>
    <t xml:space="preserve">jmp skip_ras</t>
  </si>
  <si>
    <t xml:space="preserve">tRC</t>
  </si>
  <si>
    <t xml:space="preserve">begin:</t>
  </si>
  <si>
    <t xml:space="preserve">set pins, 0b111</t>
  </si>
  <si>
    <t xml:space="preserve">Raise RAS, CAS &amp; WR.  tRP and tCPN</t>
  </si>
  <si>
    <t xml:space="preserve">tRWC</t>
  </si>
  <si>
    <t xml:space="preserve">skip_ras:</t>
  </si>
  <si>
    <t xml:space="preserve">pull block</t>
  </si>
  <si>
    <t xml:space="preserve">tWCR</t>
  </si>
  <si>
    <t xml:space="preserve">out y, 1</t>
  </si>
  <si>
    <t xml:space="preserve">out x, 1</t>
  </si>
  <si>
    <t xml:space="preserve">jmp !y full_transfer</t>
  </si>
  <si>
    <t xml:space="preserve">out NULL, 8 [7]</t>
  </si>
  <si>
    <t xml:space="preserve">Wait [7]</t>
  </si>
  <si>
    <t xml:space="preserve">jmp cas_only_transfer</t>
  </si>
</sst>
</file>

<file path=xl/styles.xml><?xml version="1.0" encoding="utf-8"?>
<styleSheet xmlns="http://schemas.openxmlformats.org/spreadsheetml/2006/main">
  <numFmts count="3">
    <numFmt numFmtId="164" formatCode="General"/>
    <numFmt numFmtId="165" formatCode="[h]:mm:ss"/>
    <numFmt numFmtId="166" formatCode="0.0"/>
  </numFmts>
  <fonts count="17">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sz val="11"/>
      <color theme="1"/>
      <name val="Arial"/>
      <family val="0"/>
      <charset val="1"/>
    </font>
    <font>
      <b val="true"/>
      <sz val="11"/>
      <color rgb="FFFF0000"/>
      <name val="Arial"/>
      <family val="0"/>
      <charset val="1"/>
    </font>
    <font>
      <b val="true"/>
      <sz val="11"/>
      <color rgb="FF0000FF"/>
      <name val="Arial"/>
      <family val="0"/>
      <charset val="1"/>
    </font>
    <font>
      <sz val="11"/>
      <color rgb="FF0000FF"/>
      <name val="Arial"/>
      <family val="0"/>
      <charset val="1"/>
    </font>
    <font>
      <b val="true"/>
      <sz val="11"/>
      <color rgb="FFCCCCCC"/>
      <name val="Arial"/>
      <family val="0"/>
      <charset val="1"/>
    </font>
    <font>
      <sz val="11"/>
      <color rgb="FFC27BA0"/>
      <name val="Arial"/>
      <family val="0"/>
      <charset val="1"/>
    </font>
    <font>
      <b val="true"/>
      <sz val="11"/>
      <color rgb="FFFF00FF"/>
      <name val="Arial"/>
      <family val="0"/>
      <charset val="1"/>
    </font>
    <font>
      <b val="true"/>
      <sz val="11"/>
      <color rgb="FF980000"/>
      <name val="Arial"/>
      <family val="0"/>
      <charset val="1"/>
    </font>
    <font>
      <sz val="11"/>
      <color rgb="FFCCCCCC"/>
      <name val="Arial"/>
      <family val="0"/>
      <charset val="1"/>
    </font>
    <font>
      <sz val="11"/>
      <color rgb="FFFF0000"/>
      <name val="Arial"/>
      <family val="0"/>
      <charset val="1"/>
    </font>
    <font>
      <b val="true"/>
      <sz val="11"/>
      <color rgb="FF9900FF"/>
      <name val="Arial"/>
      <family val="0"/>
      <charset val="1"/>
    </font>
    <font>
      <sz val="11"/>
      <color rgb="FFD9D9D9"/>
      <name val="Arial"/>
      <family val="0"/>
      <charset val="1"/>
    </font>
  </fonts>
  <fills count="4">
    <fill>
      <patternFill patternType="none"/>
    </fill>
    <fill>
      <patternFill patternType="gray125"/>
    </fill>
    <fill>
      <patternFill patternType="solid">
        <fgColor rgb="FFFFF2CC"/>
        <bgColor rgb="FFFFFFFF"/>
      </patternFill>
    </fill>
    <fill>
      <patternFill patternType="solid">
        <fgColor rgb="FFFFFFFF"/>
        <bgColor rgb="FFFFF2CC"/>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right style="thin">
        <color rgb="FFCCCCCC"/>
      </right>
      <top style="thin">
        <color rgb="FFCCCCCC"/>
      </top>
      <bottom style="thin">
        <color rgb="FFCCCCCC"/>
      </bottom>
      <diagonal/>
    </border>
    <border diagonalUp="false" diagonalDown="false">
      <left style="thin">
        <color rgb="FFCCCCCC"/>
      </left>
      <right style="thin">
        <color rgb="FFCCCCCC"/>
      </right>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right"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right" vertical="bottom" textRotation="0" wrapText="false" indent="0" shrinkToFit="false"/>
      <protection locked="true" hidden="false"/>
    </xf>
    <xf numFmtId="164" fontId="4" fillId="3" borderId="0" xfId="0" applyFont="true" applyBorder="false" applyAlignment="true" applyProtection="false">
      <alignment horizontal="right"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5" fillId="0" borderId="2"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right"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6" fontId="4" fillId="0" borderId="2" xfId="0" applyFont="true" applyBorder="true" applyAlignment="false" applyProtection="false">
      <alignment horizontal="general" vertical="bottom" textRotation="0" wrapText="false" indent="0" shrinkToFit="false"/>
      <protection locked="true" hidden="false"/>
    </xf>
    <xf numFmtId="166" fontId="4" fillId="0" borderId="1"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6" fontId="9" fillId="0" borderId="2" xfId="0" applyFont="true" applyBorder="true" applyAlignment="false" applyProtection="false">
      <alignment horizontal="general" vertical="bottom" textRotation="0" wrapText="false" indent="0" shrinkToFit="false"/>
      <protection locked="true" hidden="false"/>
    </xf>
    <xf numFmtId="166" fontId="13" fillId="0" borderId="2"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16" fillId="0" borderId="2"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6" fontId="16" fillId="3" borderId="2"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true" applyAlignment="true" applyProtection="false">
      <alignment horizontal="center" vertical="bottom" textRotation="0" wrapText="false" indent="0" shrinkToFit="false"/>
      <protection locked="true" hidden="false"/>
    </xf>
    <xf numFmtId="164" fontId="5" fillId="3" borderId="0" xfId="0" applyFont="true" applyBorder="false" applyAlignment="true" applyProtection="false">
      <alignment horizontal="right" vertical="bottom" textRotation="0" wrapText="false" indent="0" shrinkToFit="false"/>
      <protection locked="true" hidden="false"/>
    </xf>
    <xf numFmtId="164" fontId="4" fillId="2" borderId="3" xfId="0" applyFont="true" applyBorder="true" applyAlignment="true" applyProtection="false">
      <alignment horizontal="center"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5" fillId="2" borderId="3"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right"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6" fontId="5" fillId="0" borderId="3"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6" fontId="16" fillId="0" borderId="1" xfId="0" applyFont="true" applyBorder="true" applyAlignment="false" applyProtection="false">
      <alignment horizontal="general" vertical="bottom" textRotation="0" wrapText="false" indent="0" shrinkToFit="false"/>
      <protection locked="true" hidden="false"/>
    </xf>
    <xf numFmtId="166" fontId="16"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FF0000"/>
        </patternFill>
      </fill>
    </dxf>
    <dxf>
      <fill>
        <patternFill>
          <bgColor rgb="FF0000FF"/>
        </patternFill>
      </fill>
    </dxf>
    <dxf>
      <fill>
        <patternFill>
          <bgColor rgb="FFFF00FF"/>
        </patternFill>
      </fill>
    </dxf>
    <dxf>
      <fill>
        <patternFill>
          <bgColor rgb="FF9900FF"/>
        </patternFill>
      </fill>
    </dxf>
  </dxf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9900FF"/>
      <rgbColor rgb="FF008080"/>
      <rgbColor rgb="FFCCCCCC"/>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C27BA0"/>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7.63"/>
    <col collapsed="false" customWidth="true" hidden="false" outlineLevel="0" max="2" min="2" style="0" width="93"/>
  </cols>
  <sheetData>
    <row r="1" customFormat="false" ht="15" hidden="false" customHeight="false" outlineLevel="0" collapsed="false">
      <c r="A1" s="1" t="s">
        <v>0</v>
      </c>
      <c r="B1" s="2" t="s">
        <v>1</v>
      </c>
    </row>
    <row r="2" customFormat="false" ht="26.85" hidden="false" customHeight="false" outlineLevel="0" collapsed="false">
      <c r="A2" s="3" t="n">
        <v>1</v>
      </c>
      <c r="B2" s="4" t="s">
        <v>2</v>
      </c>
    </row>
    <row r="3" customFormat="false" ht="15" hidden="false" customHeight="false" outlineLevel="0" collapsed="false">
      <c r="A3" s="3"/>
      <c r="B3" s="4"/>
    </row>
    <row r="4" customFormat="false" ht="26.85" hidden="false" customHeight="false" outlineLevel="0" collapsed="false">
      <c r="A4" s="3" t="n">
        <v>2</v>
      </c>
      <c r="B4" s="4" t="s">
        <v>3</v>
      </c>
    </row>
    <row r="5" customFormat="false" ht="15" hidden="false" customHeight="false" outlineLevel="0" collapsed="false">
      <c r="A5" s="3"/>
      <c r="B5" s="4"/>
    </row>
    <row r="6" customFormat="false" ht="39.55" hidden="false" customHeight="false" outlineLevel="0" collapsed="false">
      <c r="A6" s="3" t="n">
        <v>3</v>
      </c>
      <c r="B6" s="4" t="s">
        <v>4</v>
      </c>
    </row>
    <row r="7" customFormat="false" ht="15" hidden="false" customHeight="false" outlineLevel="0" collapsed="false">
      <c r="A7" s="5" t="s">
        <v>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9.63"/>
    <col collapsed="false" customWidth="true" hidden="false" outlineLevel="0" max="2" min="2" style="0" width="8.63"/>
    <col collapsed="false" customWidth="true" hidden="false" outlineLevel="0" max="3" min="3" style="0" width="5.25"/>
    <col collapsed="false" customWidth="true" hidden="false" outlineLevel="0" max="4" min="4" style="0" width="14.88"/>
    <col collapsed="false" customWidth="true" hidden="false" outlineLevel="0" max="5" min="5" style="0" width="19.88"/>
    <col collapsed="false" customWidth="true" hidden="false" outlineLevel="0" max="6" min="6" style="0" width="6.38"/>
    <col collapsed="false" customWidth="true" hidden="false" outlineLevel="0" max="7" min="7" style="0" width="11.38"/>
    <col collapsed="false" customWidth="true" hidden="false" outlineLevel="0" max="8" min="8" style="0" width="10.38"/>
    <col collapsed="false" customWidth="true" hidden="false" outlineLevel="0" max="9" min="9" style="0" width="137.75"/>
  </cols>
  <sheetData>
    <row r="1" customFormat="false" ht="15.75" hidden="false" customHeight="true" outlineLevel="0" collapsed="false">
      <c r="H1" s="6"/>
      <c r="I1" s="6"/>
    </row>
    <row r="2" customFormat="false" ht="15.75" hidden="false" customHeight="true" outlineLevel="0" collapsed="false">
      <c r="A2" s="7" t="s">
        <v>6</v>
      </c>
      <c r="B2" s="7"/>
      <c r="F2" s="8"/>
      <c r="G2" s="7" t="s">
        <v>7</v>
      </c>
      <c r="H2" s="7"/>
      <c r="I2" s="7"/>
    </row>
    <row r="3" customFormat="false" ht="15.75" hidden="false" customHeight="true" outlineLevel="0" collapsed="false">
      <c r="A3" s="9" t="s">
        <v>8</v>
      </c>
      <c r="B3" s="10" t="s">
        <v>9</v>
      </c>
      <c r="C3" s="11"/>
      <c r="D3" s="10" t="s">
        <v>10</v>
      </c>
      <c r="E3" s="12" t="s">
        <v>11</v>
      </c>
      <c r="F3" s="12" t="s">
        <v>12</v>
      </c>
      <c r="G3" s="13" t="s">
        <v>13</v>
      </c>
      <c r="H3" s="12" t="s">
        <v>14</v>
      </c>
      <c r="I3" s="9" t="s">
        <v>1</v>
      </c>
    </row>
    <row r="4" customFormat="false" ht="15.75" hidden="false" customHeight="true" outlineLevel="0" collapsed="false">
      <c r="A4" s="9" t="n">
        <v>0</v>
      </c>
      <c r="B4" s="14" t="n">
        <v>0</v>
      </c>
      <c r="C4" s="15"/>
      <c r="D4" s="14" t="s">
        <v>15</v>
      </c>
      <c r="E4" s="16" t="s">
        <v>16</v>
      </c>
      <c r="F4" s="16" t="n">
        <v>1</v>
      </c>
      <c r="G4" s="17" t="n">
        <f aca="false">H30</f>
        <v>16.665</v>
      </c>
      <c r="H4" s="18" t="n">
        <f aca="true">G4+(OFFSET($B$4,$F4,0)+1)*3.333</f>
        <v>19.998</v>
      </c>
      <c r="I4" s="16" t="s">
        <v>17</v>
      </c>
    </row>
    <row r="5" customFormat="false" ht="15.75" hidden="false" customHeight="true" outlineLevel="0" collapsed="false">
      <c r="A5" s="19" t="n">
        <v>1</v>
      </c>
      <c r="B5" s="14" t="n">
        <v>0</v>
      </c>
      <c r="C5" s="15"/>
      <c r="D5" s="14"/>
      <c r="E5" s="16" t="s">
        <v>18</v>
      </c>
      <c r="F5" s="16" t="n">
        <v>2</v>
      </c>
      <c r="G5" s="17" t="n">
        <f aca="false">H4</f>
        <v>19.998</v>
      </c>
      <c r="H5" s="18" t="n">
        <f aca="true">G5+(OFFSET($B$4,$F5,0)+1)*3.333</f>
        <v>79.992</v>
      </c>
      <c r="I5" s="16" t="s">
        <v>19</v>
      </c>
    </row>
    <row r="6" customFormat="false" ht="15.75" hidden="false" customHeight="true" outlineLevel="0" collapsed="false">
      <c r="A6" s="19" t="n">
        <v>2</v>
      </c>
      <c r="B6" s="14" t="n">
        <v>17</v>
      </c>
      <c r="C6" s="15"/>
      <c r="D6" s="14"/>
      <c r="E6" s="16" t="s">
        <v>20</v>
      </c>
      <c r="F6" s="16" t="n">
        <v>0</v>
      </c>
      <c r="G6" s="17" t="n">
        <f aca="false">H5</f>
        <v>79.992</v>
      </c>
      <c r="H6" s="18" t="n">
        <f aca="true">G6+(OFFSET($B$4,$F6,0)+1)*3.333</f>
        <v>83.325</v>
      </c>
      <c r="I6" s="16" t="s">
        <v>21</v>
      </c>
    </row>
    <row r="7" customFormat="false" ht="15.75" hidden="false" customHeight="true" outlineLevel="0" collapsed="false">
      <c r="A7" s="19" t="n">
        <v>3</v>
      </c>
      <c r="B7" s="14" t="n">
        <v>4</v>
      </c>
      <c r="C7" s="15"/>
      <c r="D7" s="14"/>
      <c r="E7" s="20" t="s">
        <v>22</v>
      </c>
      <c r="F7" s="16" t="n">
        <v>0</v>
      </c>
      <c r="G7" s="21" t="n">
        <f aca="false">H6</f>
        <v>83.325</v>
      </c>
      <c r="H7" s="22" t="n">
        <f aca="true">G7+(OFFSET($B$4,$F7,0)+1)*3.333</f>
        <v>86.658</v>
      </c>
      <c r="I7" s="16" t="s">
        <v>23</v>
      </c>
    </row>
    <row r="8" customFormat="false" ht="15.75" hidden="false" customHeight="true" outlineLevel="0" collapsed="false">
      <c r="A8" s="19" t="n">
        <v>4</v>
      </c>
      <c r="B8" s="14" t="n">
        <v>12</v>
      </c>
      <c r="C8" s="15"/>
      <c r="D8" s="14"/>
      <c r="E8" s="16" t="s">
        <v>24</v>
      </c>
      <c r="F8" s="16" t="n">
        <v>3</v>
      </c>
      <c r="G8" s="17" t="n">
        <f aca="false">H7</f>
        <v>86.658</v>
      </c>
      <c r="H8" s="18" t="n">
        <f aca="true">G8+(OFFSET($B$4,$F8,0)+1)*3.333</f>
        <v>103.323</v>
      </c>
      <c r="I8" s="16" t="s">
        <v>25</v>
      </c>
    </row>
    <row r="9" customFormat="false" ht="15.75" hidden="false" customHeight="true" outlineLevel="0" collapsed="false">
      <c r="A9" s="19" t="n">
        <v>5</v>
      </c>
      <c r="B9" s="14" t="n">
        <v>4</v>
      </c>
      <c r="C9" s="15"/>
      <c r="D9" s="14" t="s">
        <v>26</v>
      </c>
      <c r="E9" s="20" t="s">
        <v>27</v>
      </c>
      <c r="F9" s="16" t="n">
        <v>0</v>
      </c>
      <c r="G9" s="21" t="n">
        <f aca="false">H8</f>
        <v>103.323</v>
      </c>
      <c r="H9" s="18" t="n">
        <f aca="true">G9+(OFFSET($B$4,$F9,0)+1)*3.333</f>
        <v>106.656</v>
      </c>
      <c r="I9" s="16" t="s">
        <v>28</v>
      </c>
    </row>
    <row r="10" customFormat="false" ht="15.75" hidden="false" customHeight="true" outlineLevel="0" collapsed="false">
      <c r="A10" s="19" t="n">
        <v>6</v>
      </c>
      <c r="B10" s="14" t="n">
        <v>0</v>
      </c>
      <c r="C10" s="15"/>
      <c r="D10" s="14"/>
      <c r="E10" s="16" t="s">
        <v>29</v>
      </c>
      <c r="F10" s="16" t="n">
        <v>0</v>
      </c>
      <c r="G10" s="17" t="n">
        <f aca="false">H9</f>
        <v>106.656</v>
      </c>
      <c r="H10" s="18" t="n">
        <f aca="true">G10+(OFFSET($B$4,$F10,0)+1)*3.333</f>
        <v>109.989</v>
      </c>
      <c r="I10" s="16" t="s">
        <v>30</v>
      </c>
    </row>
    <row r="11" customFormat="false" ht="15.75" hidden="false" customHeight="true" outlineLevel="0" collapsed="false">
      <c r="A11" s="19" t="n">
        <v>7</v>
      </c>
      <c r="B11" s="14" t="n">
        <v>0</v>
      </c>
      <c r="C11" s="15"/>
      <c r="D11" s="14"/>
      <c r="E11" s="16" t="s">
        <v>31</v>
      </c>
      <c r="F11" s="16" t="n">
        <v>0</v>
      </c>
      <c r="G11" s="21" t="n">
        <f aca="false">H10</f>
        <v>109.989</v>
      </c>
      <c r="H11" s="22" t="n">
        <f aca="true">G11+(OFFSET($B$4,$F11,0)+1)*3.333</f>
        <v>113.322</v>
      </c>
      <c r="I11" s="16" t="s">
        <v>32</v>
      </c>
    </row>
    <row r="12" customFormat="false" ht="15.75" hidden="false" customHeight="true" outlineLevel="0" collapsed="false">
      <c r="A12" s="15"/>
      <c r="B12" s="15"/>
      <c r="C12" s="15" t="s">
        <v>5</v>
      </c>
      <c r="D12" s="14"/>
      <c r="E12" s="16" t="s">
        <v>33</v>
      </c>
      <c r="F12" s="16" t="n">
        <v>0</v>
      </c>
      <c r="G12" s="17" t="n">
        <f aca="false">H11</f>
        <v>113.322</v>
      </c>
      <c r="H12" s="18" t="n">
        <f aca="true">G12+(OFFSET($B$4,$F12,0)+1)*3.333</f>
        <v>116.655</v>
      </c>
      <c r="I12" s="16" t="s">
        <v>34</v>
      </c>
    </row>
    <row r="13" customFormat="false" ht="15.75" hidden="false" customHeight="true" outlineLevel="0" collapsed="false">
      <c r="A13" s="23" t="s">
        <v>35</v>
      </c>
      <c r="B13" s="23"/>
      <c r="C13" s="15"/>
      <c r="D13" s="14" t="s">
        <v>36</v>
      </c>
      <c r="E13" s="20" t="s">
        <v>37</v>
      </c>
      <c r="F13" s="16" t="n">
        <v>0</v>
      </c>
      <c r="G13" s="24" t="n">
        <f aca="false">H10</f>
        <v>109.989</v>
      </c>
      <c r="H13" s="22" t="n">
        <f aca="true">G13+(OFFSET($B$4,$F13,0)+1)*3.333</f>
        <v>113.322</v>
      </c>
      <c r="I13" s="16" t="s">
        <v>38</v>
      </c>
    </row>
    <row r="14" customFormat="false" ht="15.75" hidden="false" customHeight="true" outlineLevel="0" collapsed="false">
      <c r="A14" s="19" t="s">
        <v>39</v>
      </c>
      <c r="B14" s="14" t="n">
        <v>80</v>
      </c>
      <c r="C14" s="15"/>
      <c r="D14" s="14"/>
      <c r="E14" s="16" t="s">
        <v>40</v>
      </c>
      <c r="F14" s="16" t="n">
        <v>0</v>
      </c>
      <c r="G14" s="25" t="n">
        <f aca="false">H13</f>
        <v>113.322</v>
      </c>
      <c r="H14" s="18" t="n">
        <f aca="true">G14+(OFFSET($B$4,$F14,0)+1)*3.333</f>
        <v>116.655</v>
      </c>
      <c r="I14" s="16" t="s">
        <v>41</v>
      </c>
      <c r="N14" s="16"/>
    </row>
    <row r="15" customFormat="false" ht="15.75" hidden="false" customHeight="true" outlineLevel="0" collapsed="false">
      <c r="A15" s="19" t="s">
        <v>42</v>
      </c>
      <c r="B15" s="14" t="n">
        <v>25</v>
      </c>
      <c r="C15" s="15"/>
      <c r="D15" s="14" t="s">
        <v>43</v>
      </c>
      <c r="E15" s="16" t="s">
        <v>44</v>
      </c>
      <c r="F15" s="16" t="n">
        <v>0</v>
      </c>
      <c r="G15" s="17" t="n">
        <f aca="false">H12</f>
        <v>116.655</v>
      </c>
      <c r="H15" s="18" t="n">
        <f aca="true">G15+(OFFSET($B$4,$F15,0)+1)*3.333</f>
        <v>119.988</v>
      </c>
      <c r="I15" s="16" t="s">
        <v>45</v>
      </c>
    </row>
    <row r="16" customFormat="false" ht="15.75" hidden="false" customHeight="true" outlineLevel="0" collapsed="false">
      <c r="A16" s="19" t="s">
        <v>46</v>
      </c>
      <c r="B16" s="14" t="n">
        <v>100</v>
      </c>
      <c r="C16" s="15"/>
      <c r="D16" s="14"/>
      <c r="E16" s="16" t="s">
        <v>47</v>
      </c>
      <c r="F16" s="16" t="n">
        <v>4</v>
      </c>
      <c r="G16" s="17" t="n">
        <f aca="false">H15</f>
        <v>119.988</v>
      </c>
      <c r="H16" s="18" t="n">
        <f aca="true">G16+(OFFSET($B$4,$F16,0)+1)*3.333</f>
        <v>163.317</v>
      </c>
      <c r="I16" s="16" t="s">
        <v>48</v>
      </c>
    </row>
    <row r="17" customFormat="false" ht="15.75" hidden="false" customHeight="true" outlineLevel="0" collapsed="false">
      <c r="A17" s="19" t="s">
        <v>49</v>
      </c>
      <c r="B17" s="14" t="n">
        <v>15</v>
      </c>
      <c r="C17" s="15"/>
      <c r="D17" s="14"/>
      <c r="E17" s="20" t="s">
        <v>37</v>
      </c>
      <c r="F17" s="16" t="n">
        <v>0</v>
      </c>
      <c r="G17" s="21" t="n">
        <f aca="false">H16</f>
        <v>163.317</v>
      </c>
      <c r="H17" s="22" t="n">
        <f aca="true">G17+(OFFSET($B$4,$F17,0)+1)*3.333</f>
        <v>166.65</v>
      </c>
      <c r="I17" s="16" t="s">
        <v>50</v>
      </c>
    </row>
    <row r="18" customFormat="false" ht="15.75" hidden="false" customHeight="true" outlineLevel="0" collapsed="false">
      <c r="A18" s="19" t="s">
        <v>51</v>
      </c>
      <c r="B18" s="14" t="n">
        <v>25</v>
      </c>
      <c r="C18" s="15"/>
      <c r="D18" s="14"/>
      <c r="E18" s="16" t="s">
        <v>27</v>
      </c>
      <c r="F18" s="16" t="n">
        <v>0</v>
      </c>
      <c r="G18" s="21" t="n">
        <f aca="false">H17</f>
        <v>166.65</v>
      </c>
      <c r="H18" s="18" t="n">
        <f aca="true">G18+(OFFSET($B$4,$F18,0)+1)*3.333</f>
        <v>169.983</v>
      </c>
      <c r="I18" s="16" t="s">
        <v>52</v>
      </c>
    </row>
    <row r="19" customFormat="false" ht="15.75" hidden="false" customHeight="true" outlineLevel="0" collapsed="false">
      <c r="A19" s="19" t="s">
        <v>53</v>
      </c>
      <c r="B19" s="14" t="n">
        <v>95</v>
      </c>
      <c r="C19" s="15"/>
      <c r="D19" s="14"/>
      <c r="E19" s="16" t="s">
        <v>54</v>
      </c>
      <c r="F19" s="16" t="n">
        <v>5</v>
      </c>
      <c r="G19" s="17" t="n">
        <f aca="false">H18</f>
        <v>169.983</v>
      </c>
      <c r="H19" s="18" t="n">
        <f aca="true">G19+(OFFSET($B$4,$F19,0)+1)*3.333</f>
        <v>186.648</v>
      </c>
      <c r="I19" s="16" t="s">
        <v>55</v>
      </c>
    </row>
    <row r="20" customFormat="false" ht="15.75" hidden="false" customHeight="true" outlineLevel="0" collapsed="false">
      <c r="A20" s="19" t="s">
        <v>56</v>
      </c>
      <c r="B20" s="14" t="n">
        <v>30</v>
      </c>
      <c r="C20" s="15"/>
      <c r="D20" s="14"/>
      <c r="E20" s="16" t="s">
        <v>57</v>
      </c>
      <c r="F20" s="16" t="n">
        <v>0</v>
      </c>
      <c r="G20" s="21" t="n">
        <f aca="false">H19</f>
        <v>186.648</v>
      </c>
      <c r="H20" s="18" t="n">
        <f aca="true">G20+(OFFSET($B$4,$F20,0)+1)*3.333</f>
        <v>189.981</v>
      </c>
      <c r="I20" s="16" t="s">
        <v>58</v>
      </c>
    </row>
    <row r="21" customFormat="false" ht="15.75" hidden="false" customHeight="true" outlineLevel="0" collapsed="false">
      <c r="A21" s="19" t="s">
        <v>59</v>
      </c>
      <c r="B21" s="16" t="n">
        <v>30</v>
      </c>
      <c r="C21" s="15"/>
      <c r="D21" s="14"/>
      <c r="E21" s="16" t="s">
        <v>22</v>
      </c>
      <c r="F21" s="16" t="n">
        <v>0</v>
      </c>
      <c r="G21" s="21" t="n">
        <f aca="false">H20</f>
        <v>189.981</v>
      </c>
      <c r="H21" s="18" t="n">
        <f aca="true">G21+(OFFSET($B$4,$F21,0)+1)*3.333</f>
        <v>193.314</v>
      </c>
      <c r="I21" s="16" t="s">
        <v>60</v>
      </c>
    </row>
    <row r="22" customFormat="false" ht="15.75" hidden="false" customHeight="true" outlineLevel="0" collapsed="false">
      <c r="A22" s="19" t="s">
        <v>61</v>
      </c>
      <c r="B22" s="14" t="n">
        <v>15</v>
      </c>
      <c r="C22" s="15"/>
      <c r="D22" s="14"/>
      <c r="E22" s="16" t="s">
        <v>62</v>
      </c>
      <c r="F22" s="16" t="n">
        <v>0</v>
      </c>
      <c r="G22" s="17" t="n">
        <f aca="false">H21</f>
        <v>193.314</v>
      </c>
      <c r="H22" s="18" t="n">
        <f aca="true">G22+(OFFSET($B$4,$F22,0)+1)*3.333</f>
        <v>196.647</v>
      </c>
      <c r="I22" s="16"/>
    </row>
    <row r="23" customFormat="false" ht="15.75" hidden="false" customHeight="true" outlineLevel="0" collapsed="false">
      <c r="A23" s="19" t="s">
        <v>63</v>
      </c>
      <c r="B23" s="14" t="n">
        <v>45</v>
      </c>
      <c r="C23" s="15"/>
      <c r="D23" s="14"/>
      <c r="E23" s="16" t="s">
        <v>64</v>
      </c>
      <c r="F23" s="16" t="n">
        <v>6</v>
      </c>
      <c r="G23" s="17" t="n">
        <f aca="false">H22</f>
        <v>196.647</v>
      </c>
      <c r="H23" s="18" t="n">
        <f aca="true">G23+(OFFSET($B$4,$F23,0)+1)*3.333</f>
        <v>199.98</v>
      </c>
      <c r="I23" s="16" t="s">
        <v>65</v>
      </c>
    </row>
    <row r="24" customFormat="false" ht="15.75" hidden="false" customHeight="true" outlineLevel="0" collapsed="false">
      <c r="A24" s="19" t="s">
        <v>66</v>
      </c>
      <c r="B24" s="14" t="n">
        <v>100</v>
      </c>
      <c r="C24" s="15"/>
      <c r="D24" s="14"/>
      <c r="E24" s="20" t="s">
        <v>67</v>
      </c>
      <c r="F24" s="16" t="n">
        <v>0</v>
      </c>
      <c r="G24" s="21" t="n">
        <f aca="false">H23</f>
        <v>199.98</v>
      </c>
      <c r="H24" s="18" t="n">
        <f aca="true">G24+(OFFSET($B$4,$F24,0)+1)*3.333</f>
        <v>203.313</v>
      </c>
      <c r="I24" s="26" t="s">
        <v>68</v>
      </c>
    </row>
    <row r="25" customFormat="false" ht="15.75" hidden="false" customHeight="true" outlineLevel="0" collapsed="false">
      <c r="A25" s="19" t="s">
        <v>69</v>
      </c>
      <c r="B25" s="14" t="n">
        <v>55</v>
      </c>
      <c r="C25" s="15"/>
      <c r="D25" s="14"/>
      <c r="E25" s="16" t="s">
        <v>70</v>
      </c>
      <c r="F25" s="16" t="n">
        <v>0</v>
      </c>
      <c r="G25" s="27" t="n">
        <v>0</v>
      </c>
      <c r="H25" s="28" t="n">
        <f aca="false">G25+3.333</f>
        <v>3.333</v>
      </c>
      <c r="I25" s="16"/>
    </row>
    <row r="26" customFormat="false" ht="15.75" hidden="false" customHeight="true" outlineLevel="0" collapsed="false">
      <c r="A26" s="19" t="s">
        <v>71</v>
      </c>
      <c r="B26" s="14" t="n">
        <v>190</v>
      </c>
      <c r="C26" s="15"/>
      <c r="D26" s="14" t="s">
        <v>72</v>
      </c>
      <c r="E26" s="16" t="s">
        <v>73</v>
      </c>
      <c r="F26" s="16" t="n">
        <v>0</v>
      </c>
      <c r="G26" s="17" t="n">
        <v>0</v>
      </c>
      <c r="H26" s="18" t="n">
        <f aca="true">G26+(OFFSET($B$4,$F26,0)+1)*3.333</f>
        <v>3.333</v>
      </c>
      <c r="I26" s="16" t="s">
        <v>74</v>
      </c>
    </row>
    <row r="27" customFormat="false" ht="15.75" hidden="false" customHeight="true" outlineLevel="0" collapsed="false">
      <c r="A27" s="19" t="s">
        <v>75</v>
      </c>
      <c r="B27" s="14" t="n">
        <v>215</v>
      </c>
      <c r="C27" s="15"/>
      <c r="D27" s="14" t="s">
        <v>76</v>
      </c>
      <c r="E27" s="16" t="s">
        <v>77</v>
      </c>
      <c r="F27" s="16" t="n">
        <v>0</v>
      </c>
      <c r="G27" s="17" t="n">
        <f aca="false">H26</f>
        <v>3.333</v>
      </c>
      <c r="H27" s="18" t="n">
        <f aca="true">G27+(OFFSET($B$4,$F27,0)+1)*3.333</f>
        <v>6.666</v>
      </c>
      <c r="I27" s="16"/>
    </row>
    <row r="28" customFormat="false" ht="15.75" hidden="false" customHeight="true" outlineLevel="0" collapsed="false">
      <c r="A28" s="19" t="s">
        <v>78</v>
      </c>
      <c r="B28" s="14" t="n">
        <v>75</v>
      </c>
      <c r="C28" s="15"/>
      <c r="D28" s="14"/>
      <c r="E28" s="16" t="s">
        <v>79</v>
      </c>
      <c r="F28" s="16" t="n">
        <v>0</v>
      </c>
      <c r="G28" s="17" t="n">
        <f aca="false">H27</f>
        <v>6.666</v>
      </c>
      <c r="H28" s="18" t="n">
        <f aca="true">G28+(OFFSET($B$4,$F28,0)+1)*3.333</f>
        <v>9.999</v>
      </c>
      <c r="I28" s="16"/>
    </row>
    <row r="29" customFormat="false" ht="15.75" hidden="false" customHeight="true" outlineLevel="0" collapsed="false">
      <c r="A29" s="19"/>
      <c r="B29" s="14"/>
      <c r="C29" s="15"/>
      <c r="D29" s="14"/>
      <c r="E29" s="16" t="s">
        <v>80</v>
      </c>
      <c r="F29" s="16" t="n">
        <v>0</v>
      </c>
      <c r="G29" s="17" t="n">
        <f aca="false">H28</f>
        <v>9.999</v>
      </c>
      <c r="H29" s="18" t="n">
        <f aca="true">G29+(OFFSET($B$4,$F29,0)+1)*3.333</f>
        <v>13.332</v>
      </c>
      <c r="I29" s="16"/>
    </row>
    <row r="30" customFormat="false" ht="15.75" hidden="false" customHeight="true" outlineLevel="0" collapsed="false">
      <c r="A30" s="19"/>
      <c r="B30" s="14"/>
      <c r="C30" s="15"/>
      <c r="D30" s="14"/>
      <c r="E30" s="16" t="s">
        <v>81</v>
      </c>
      <c r="F30" s="16" t="n">
        <v>0</v>
      </c>
      <c r="G30" s="17" t="n">
        <f aca="false">H29</f>
        <v>13.332</v>
      </c>
      <c r="H30" s="18" t="n">
        <f aca="true">G30+(OFFSET($B$4,$F30,0)+1)*3.333</f>
        <v>16.665</v>
      </c>
      <c r="I30" s="16"/>
    </row>
    <row r="31" customFormat="false" ht="15.75" hidden="false" customHeight="true" outlineLevel="0" collapsed="false">
      <c r="A31" s="19"/>
      <c r="B31" s="14"/>
      <c r="C31" s="15"/>
      <c r="D31" s="14"/>
      <c r="E31" s="16" t="s">
        <v>82</v>
      </c>
      <c r="F31" s="16" t="n">
        <v>7</v>
      </c>
      <c r="G31" s="29"/>
      <c r="H31" s="16"/>
      <c r="I31" s="16" t="s">
        <v>83</v>
      </c>
    </row>
    <row r="32" customFormat="false" ht="15.75" hidden="false" customHeight="true" outlineLevel="0" collapsed="false">
      <c r="A32" s="19"/>
      <c r="B32" s="14"/>
      <c r="C32" s="15"/>
      <c r="D32" s="14"/>
      <c r="E32" s="16" t="s">
        <v>84</v>
      </c>
      <c r="F32" s="16" t="n">
        <v>0</v>
      </c>
      <c r="G32" s="29"/>
      <c r="H32" s="16"/>
      <c r="I32" s="16"/>
    </row>
    <row r="33" customFormat="false" ht="15.75" hidden="false" customHeight="true" outlineLevel="0" collapsed="false">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row>
    <row r="34" customFormat="false" ht="15.75" hidden="false" customHeight="true" outlineLevel="0" collapsed="false">
      <c r="A34" s="31"/>
      <c r="B34" s="31"/>
      <c r="C34" s="31"/>
      <c r="D34" s="31"/>
      <c r="E34" s="32"/>
      <c r="F34" s="32"/>
      <c r="G34" s="32"/>
      <c r="H34" s="30"/>
      <c r="I34" s="30"/>
      <c r="J34" s="30"/>
      <c r="K34" s="30"/>
      <c r="L34" s="30"/>
      <c r="M34" s="30"/>
      <c r="N34" s="30"/>
      <c r="O34" s="30"/>
      <c r="P34" s="30"/>
      <c r="Q34" s="30"/>
      <c r="R34" s="30"/>
      <c r="S34" s="30"/>
      <c r="T34" s="30"/>
      <c r="U34" s="30"/>
      <c r="V34" s="30"/>
      <c r="W34" s="30"/>
      <c r="X34" s="30"/>
      <c r="Y34" s="30"/>
      <c r="Z34" s="30"/>
      <c r="AA34" s="30"/>
      <c r="AB34" s="30"/>
      <c r="AC34" s="30"/>
    </row>
    <row r="35" customFormat="false" ht="15.75" hidden="false" customHeight="true" outlineLevel="0" collapsed="false">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row>
    <row r="36" customFormat="false" ht="15.75" hidden="false" customHeight="true" outlineLevel="0" collapsed="false">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row>
    <row r="37" customFormat="false" ht="15.75" hidden="false" customHeight="true" outlineLevel="0" collapsed="false">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row>
    <row r="38" customFormat="false" ht="15.75" hidden="false" customHeight="true" outlineLevel="0" collapsed="false">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row>
    <row r="39" customFormat="false" ht="15.75" hidden="false" customHeight="true" outlineLevel="0" collapsed="false">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row>
    <row r="40" customFormat="false" ht="15.75" hidden="false" customHeight="true" outlineLevel="0" collapsed="false">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row>
    <row r="41" customFormat="false" ht="15.75" hidden="false" customHeight="true" outlineLevel="0" collapsed="false">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row>
    <row r="42" customFormat="false" ht="15.75" hidden="false" customHeight="true" outlineLevel="0" collapsed="false">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row>
    <row r="43" customFormat="false" ht="15.75" hidden="false" customHeight="true" outlineLevel="0" collapsed="false">
      <c r="A43" s="30"/>
      <c r="B43" s="30"/>
      <c r="C43" s="30"/>
      <c r="D43" s="30"/>
      <c r="E43" s="33"/>
      <c r="F43" s="30"/>
      <c r="G43" s="33"/>
      <c r="H43" s="33"/>
      <c r="I43" s="33"/>
      <c r="J43" s="33"/>
      <c r="K43" s="33"/>
      <c r="L43" s="33"/>
      <c r="M43" s="30"/>
      <c r="N43" s="30"/>
      <c r="O43" s="30"/>
      <c r="P43" s="30"/>
      <c r="Q43" s="30"/>
      <c r="R43" s="30"/>
      <c r="S43" s="30"/>
      <c r="T43" s="30"/>
      <c r="U43" s="30"/>
      <c r="V43" s="30"/>
      <c r="W43" s="30"/>
      <c r="X43" s="30"/>
      <c r="Y43" s="30"/>
      <c r="Z43" s="30"/>
      <c r="AA43" s="30"/>
      <c r="AB43" s="30"/>
      <c r="AC43" s="30"/>
    </row>
    <row r="44" customFormat="false" ht="15.75" hidden="false" customHeight="true" outlineLevel="0" collapsed="false">
      <c r="A44" s="30"/>
      <c r="B44" s="30"/>
      <c r="C44" s="30"/>
      <c r="D44" s="30"/>
      <c r="E44" s="33"/>
      <c r="F44" s="33"/>
      <c r="G44" s="33"/>
      <c r="H44" s="30"/>
      <c r="I44" s="30"/>
      <c r="J44" s="30"/>
      <c r="K44" s="30"/>
      <c r="L44" s="30"/>
      <c r="M44" s="30"/>
      <c r="N44" s="30"/>
      <c r="O44" s="30"/>
      <c r="P44" s="30"/>
      <c r="Q44" s="30"/>
      <c r="R44" s="30"/>
      <c r="S44" s="30"/>
      <c r="T44" s="30"/>
      <c r="U44" s="30"/>
      <c r="V44" s="30"/>
      <c r="W44" s="30"/>
      <c r="X44" s="30"/>
      <c r="Y44" s="30"/>
      <c r="Z44" s="30"/>
      <c r="AA44" s="30"/>
      <c r="AB44" s="30"/>
      <c r="AC44" s="30"/>
    </row>
    <row r="45" customFormat="false" ht="15.75" hidden="false" customHeight="true" outlineLevel="0" collapsed="false">
      <c r="A45" s="30"/>
      <c r="B45" s="30"/>
      <c r="C45" s="30"/>
      <c r="D45" s="30"/>
      <c r="E45" s="33"/>
      <c r="F45" s="33"/>
      <c r="G45" s="33"/>
      <c r="H45" s="30"/>
      <c r="I45" s="30"/>
      <c r="J45" s="30"/>
      <c r="K45" s="30"/>
      <c r="L45" s="30"/>
      <c r="M45" s="30"/>
      <c r="N45" s="30"/>
      <c r="O45" s="30"/>
      <c r="P45" s="30"/>
      <c r="Q45" s="30"/>
      <c r="R45" s="30"/>
      <c r="S45" s="30"/>
      <c r="T45" s="30"/>
      <c r="U45" s="30"/>
      <c r="V45" s="30"/>
      <c r="W45" s="30"/>
      <c r="X45" s="30"/>
      <c r="Y45" s="30"/>
      <c r="Z45" s="30"/>
      <c r="AA45" s="30"/>
      <c r="AB45" s="30"/>
      <c r="AC45" s="30"/>
    </row>
    <row r="46" customFormat="false" ht="15.75" hidden="false" customHeight="true" outlineLevel="0" collapsed="false">
      <c r="A46" s="30"/>
      <c r="B46" s="30"/>
      <c r="C46" s="30"/>
      <c r="D46" s="30"/>
      <c r="E46" s="33"/>
      <c r="F46" s="33"/>
      <c r="G46" s="33"/>
      <c r="H46" s="30"/>
      <c r="I46" s="30"/>
      <c r="J46" s="30"/>
      <c r="K46" s="30"/>
      <c r="L46" s="30"/>
      <c r="M46" s="30"/>
      <c r="N46" s="30"/>
      <c r="O46" s="30"/>
      <c r="P46" s="30"/>
      <c r="Q46" s="30"/>
      <c r="R46" s="30"/>
      <c r="S46" s="30"/>
      <c r="T46" s="30"/>
      <c r="U46" s="30"/>
      <c r="V46" s="30"/>
      <c r="W46" s="30"/>
      <c r="X46" s="30"/>
      <c r="Y46" s="30"/>
      <c r="Z46" s="30"/>
      <c r="AA46" s="30"/>
      <c r="AB46" s="30"/>
      <c r="AC46" s="30"/>
    </row>
    <row r="47" customFormat="false" ht="15.75" hidden="false" customHeight="true" outlineLevel="0" collapsed="false">
      <c r="A47" s="30"/>
      <c r="B47" s="30"/>
      <c r="C47" s="30"/>
      <c r="D47" s="30"/>
      <c r="E47" s="33"/>
      <c r="F47" s="33"/>
      <c r="G47" s="33"/>
      <c r="H47" s="30"/>
      <c r="I47" s="30"/>
      <c r="J47" s="30"/>
      <c r="K47" s="30"/>
      <c r="L47" s="30"/>
      <c r="M47" s="30"/>
      <c r="N47" s="30"/>
      <c r="O47" s="30"/>
      <c r="P47" s="30"/>
      <c r="Q47" s="30"/>
      <c r="R47" s="30"/>
      <c r="S47" s="30"/>
      <c r="T47" s="30"/>
      <c r="U47" s="30"/>
      <c r="V47" s="30"/>
      <c r="W47" s="30"/>
      <c r="X47" s="30"/>
      <c r="Y47" s="30"/>
      <c r="Z47" s="30"/>
      <c r="AA47" s="30"/>
      <c r="AB47" s="30"/>
      <c r="AC47" s="30"/>
    </row>
    <row r="48" customFormat="false" ht="15.75" hidden="false" customHeight="true" outlineLevel="0" collapsed="false">
      <c r="A48" s="30"/>
      <c r="B48" s="30"/>
      <c r="C48" s="30"/>
      <c r="D48" s="30"/>
      <c r="E48" s="33"/>
      <c r="F48" s="33"/>
      <c r="G48" s="33"/>
      <c r="H48" s="30"/>
      <c r="I48" s="30"/>
      <c r="J48" s="30"/>
      <c r="K48" s="30"/>
      <c r="L48" s="30"/>
      <c r="M48" s="30"/>
      <c r="N48" s="30"/>
      <c r="O48" s="30"/>
      <c r="P48" s="30"/>
      <c r="Q48" s="30"/>
      <c r="R48" s="30"/>
      <c r="S48" s="30"/>
      <c r="T48" s="30"/>
      <c r="U48" s="30"/>
      <c r="V48" s="30"/>
      <c r="W48" s="30"/>
      <c r="X48" s="30"/>
      <c r="Y48" s="30"/>
      <c r="Z48" s="30"/>
      <c r="AA48" s="30"/>
      <c r="AB48" s="30"/>
      <c r="AC48" s="30"/>
    </row>
    <row r="49" customFormat="false" ht="15.75" hidden="false" customHeight="true" outlineLevel="0" collapsed="false">
      <c r="A49" s="30"/>
      <c r="B49" s="30"/>
      <c r="C49" s="30"/>
      <c r="D49" s="30"/>
      <c r="E49" s="33"/>
      <c r="F49" s="33"/>
      <c r="G49" s="33"/>
      <c r="H49" s="30"/>
      <c r="I49" s="30"/>
      <c r="J49" s="30"/>
      <c r="K49" s="30"/>
      <c r="L49" s="30"/>
      <c r="M49" s="30"/>
      <c r="N49" s="30"/>
      <c r="O49" s="30"/>
      <c r="P49" s="30"/>
      <c r="Q49" s="30"/>
      <c r="R49" s="30"/>
      <c r="S49" s="30"/>
      <c r="T49" s="30"/>
      <c r="U49" s="30"/>
      <c r="V49" s="30"/>
      <c r="W49" s="30"/>
      <c r="X49" s="30"/>
      <c r="Y49" s="30"/>
      <c r="Z49" s="30"/>
      <c r="AA49" s="30"/>
      <c r="AB49" s="30"/>
      <c r="AC49" s="30"/>
    </row>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A2:B2"/>
    <mergeCell ref="G2:I2"/>
    <mergeCell ref="A13:B13"/>
    <mergeCell ref="E34:G34"/>
  </mergeCells>
  <conditionalFormatting sqref="G24">
    <cfRule type="expression" priority="2" aboveAverage="0" equalAverage="0" bottom="0" percent="0" rank="0" text="" dxfId="0">
      <formula>ROUND($G$24 - $H$7, 1) &lt; VLOOKUP("tRAS",$A$14:$B$32, 2, 0)</formula>
    </cfRule>
  </conditionalFormatting>
  <conditionalFormatting sqref="G24">
    <cfRule type="expression" priority="3" aboveAverage="0" equalAverage="0" bottom="0" percent="0" rank="0" text="" dxfId="1">
      <formula>ROUND($G$24 - $H$26, 1) &lt; VLOOKUP("tRC",$A$14:$B$32, 2, 0)</formula>
    </cfRule>
  </conditionalFormatting>
  <conditionalFormatting sqref="G13">
    <cfRule type="expression" priority="4" aboveAverage="0" equalAverage="0" bottom="0" percent="0" rank="0" text="" dxfId="0">
      <formula>ROUND($G$13-$H$7, 1) &lt; VLOOKUP("tRCD(min)",$A$14:$B$32,2,0)</formula>
    </cfRule>
  </conditionalFormatting>
  <conditionalFormatting sqref="G13">
    <cfRule type="expression" priority="5" aboveAverage="0" equalAverage="0" bottom="0" percent="0" rank="0" text="" dxfId="1">
      <formula>ROUND($G$13-$H$26,1) &lt; VLOOKUP("tCPN",$A$14:$B$32,2,0)</formula>
    </cfRule>
  </conditionalFormatting>
  <conditionalFormatting sqref="G13">
    <cfRule type="expression" priority="6" aboveAverage="0" equalAverage="0" bottom="0" percent="0" rank="0" text="" dxfId="2">
      <formula>ROUND($G$13-$H$7, 1) &gt;= VLOOKUP("tRCD(max)",$A$14:$B$32,2,0)</formula>
    </cfRule>
  </conditionalFormatting>
  <conditionalFormatting sqref="G18">
    <cfRule type="expression" priority="7" aboveAverage="0" equalAverage="0" bottom="0" percent="0" rank="0" text="" dxfId="0">
      <formula>ROUND($G$18 - $H$11, 1) &lt; VLOOKUP("tCAH",$A$14:$B$26,2,0)</formula>
    </cfRule>
  </conditionalFormatting>
  <conditionalFormatting sqref="G7">
    <cfRule type="expression" priority="8" aboveAverage="0" equalAverage="0" bottom="0" percent="0" rank="0" text="" dxfId="0">
      <formula>ROUND($G$7-$H$26,1) &lt; VLOOKUP("tRP",$A$14:$B$32,2,0)</formula>
    </cfRule>
  </conditionalFormatting>
  <conditionalFormatting sqref="G9">
    <cfRule type="expression" priority="9" aboveAverage="0" equalAverage="0" bottom="0" percent="0" rank="0" text="" dxfId="0">
      <formula>ROUND($G$9 - $H$7, 1) &lt; VLOOKUP("tRAH",$A$14:$B$32,2,0)</formula>
    </cfRule>
  </conditionalFormatting>
  <conditionalFormatting sqref="G17">
    <cfRule type="expression" priority="10" aboveAverage="0" equalAverage="0" bottom="0" percent="0" rank="0" text="" dxfId="0">
      <formula>ROUND($G$17 - $H$11, 1) &lt; VLOOKUP("tWP",$A$14:$B$32,2,0)</formula>
    </cfRule>
  </conditionalFormatting>
  <conditionalFormatting sqref="G11">
    <cfRule type="expression" priority="11" aboveAverage="0" equalAverage="0" bottom="0" percent="0" rank="0" text="" dxfId="1">
      <formula>ROUND($G$11-$H$26,1) &lt; VLOOKUP("tCPN",$A$14:$B$32,2,0)</formula>
    </cfRule>
  </conditionalFormatting>
  <conditionalFormatting sqref="G18">
    <cfRule type="expression" priority="12" aboveAverage="0" equalAverage="0" bottom="0" percent="0" rank="0" text="" dxfId="0">
      <formula>ROUND($G$18 - $H$13, 1) &lt; VLOOKUP("tCAH",$A$14:$B$26,2,0)</formula>
    </cfRule>
  </conditionalFormatting>
  <conditionalFormatting sqref="G20">
    <cfRule type="expression" priority="13" aboveAverage="0" equalAverage="0" bottom="0" percent="0" rank="0" text="" dxfId="0">
      <formula>ROUND($G$20 - $H$7, 1) &lt; VLOOKUP("tRAC",$A$14:$B$26,2,0)</formula>
    </cfRule>
  </conditionalFormatting>
  <conditionalFormatting sqref="G17">
    <cfRule type="expression" priority="14" aboveAverage="0" equalAverage="0" bottom="0" percent="0" rank="0" text="" dxfId="1">
      <formula>ROUND($G$17 - $H$11, 1) &lt; VLOOKUP("tWCH",$A$14:$B$32,2,0)</formula>
    </cfRule>
  </conditionalFormatting>
  <conditionalFormatting sqref="G21">
    <cfRule type="expression" priority="15" aboveAverage="0" equalAverage="0" bottom="0" percent="0" rank="0" text="" dxfId="0">
      <formula>ROUND($G$21 - $H$13, 1) &lt; VLOOKUP("tCAS", $A$14:$B$32, 2, 0)</formula>
    </cfRule>
  </conditionalFormatting>
  <conditionalFormatting sqref="G17">
    <cfRule type="expression" priority="16" aboveAverage="0" equalAverage="0" bottom="0" percent="0" rank="0" text="" dxfId="3">
      <formula>ROUND($G$17 - $H$7, 1) &lt; VLOOKUP("tWCR",$A$14:$B$32,2,0)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9.63"/>
    <col collapsed="false" customWidth="true" hidden="false" outlineLevel="0" max="2" min="2" style="0" width="8.63"/>
    <col collapsed="false" customWidth="true" hidden="false" outlineLevel="0" max="3" min="3" style="0" width="5.25"/>
    <col collapsed="false" customWidth="true" hidden="false" outlineLevel="0" max="4" min="4" style="0" width="14.88"/>
    <col collapsed="false" customWidth="true" hidden="false" outlineLevel="0" max="5" min="5" style="0" width="19.88"/>
    <col collapsed="false" customWidth="true" hidden="false" outlineLevel="0" max="6" min="6" style="0" width="6.38"/>
    <col collapsed="false" customWidth="true" hidden="false" outlineLevel="0" max="7" min="7" style="0" width="11.38"/>
    <col collapsed="false" customWidth="true" hidden="false" outlineLevel="0" max="8" min="8" style="0" width="10.38"/>
    <col collapsed="false" customWidth="true" hidden="false" outlineLevel="0" max="9" min="9" style="0" width="141.63"/>
  </cols>
  <sheetData>
    <row r="1" customFormat="false" ht="15.75" hidden="false" customHeight="true" outlineLevel="0" collapsed="false">
      <c r="H1" s="6"/>
      <c r="I1" s="6"/>
    </row>
    <row r="2" customFormat="false" ht="15.75" hidden="false" customHeight="true" outlineLevel="0" collapsed="false">
      <c r="A2" s="7" t="s">
        <v>6</v>
      </c>
      <c r="B2" s="7"/>
      <c r="F2" s="8"/>
      <c r="G2" s="7" t="s">
        <v>7</v>
      </c>
      <c r="H2" s="7"/>
      <c r="I2" s="7"/>
    </row>
    <row r="3" customFormat="false" ht="15.75" hidden="false" customHeight="true" outlineLevel="0" collapsed="false">
      <c r="A3" s="9" t="s">
        <v>8</v>
      </c>
      <c r="B3" s="10" t="s">
        <v>9</v>
      </c>
      <c r="C3" s="11"/>
      <c r="D3" s="10" t="s">
        <v>10</v>
      </c>
      <c r="E3" s="12" t="s">
        <v>11</v>
      </c>
      <c r="F3" s="12" t="s">
        <v>12</v>
      </c>
      <c r="G3" s="13" t="s">
        <v>13</v>
      </c>
      <c r="H3" s="12" t="s">
        <v>14</v>
      </c>
      <c r="I3" s="9" t="s">
        <v>1</v>
      </c>
    </row>
    <row r="4" customFormat="false" ht="15.75" hidden="false" customHeight="true" outlineLevel="0" collapsed="false">
      <c r="A4" s="9" t="n">
        <v>0</v>
      </c>
      <c r="B4" s="14" t="n">
        <v>0</v>
      </c>
      <c r="C4" s="15"/>
      <c r="D4" s="14" t="s">
        <v>15</v>
      </c>
      <c r="E4" s="16" t="s">
        <v>16</v>
      </c>
      <c r="F4" s="16" t="n">
        <v>1</v>
      </c>
      <c r="G4" s="17" t="n">
        <f aca="false">H30</f>
        <v>16.665</v>
      </c>
      <c r="H4" s="18" t="n">
        <f aca="true">G4+(OFFSET($B$4,$F4,0)+1)*3.333</f>
        <v>19.998</v>
      </c>
      <c r="I4" s="16" t="s">
        <v>17</v>
      </c>
    </row>
    <row r="5" customFormat="false" ht="15.75" hidden="false" customHeight="true" outlineLevel="0" collapsed="false">
      <c r="A5" s="19" t="n">
        <v>1</v>
      </c>
      <c r="B5" s="14" t="n">
        <v>0</v>
      </c>
      <c r="C5" s="15"/>
      <c r="D5" s="14"/>
      <c r="E5" s="16" t="s">
        <v>18</v>
      </c>
      <c r="F5" s="16" t="n">
        <v>2</v>
      </c>
      <c r="G5" s="17" t="n">
        <f aca="false">H4</f>
        <v>19.998</v>
      </c>
      <c r="H5" s="18" t="n">
        <f aca="true">G5+(OFFSET($B$4,$F5,0)+1)*3.333</f>
        <v>89.991</v>
      </c>
      <c r="I5" s="16" t="s">
        <v>19</v>
      </c>
    </row>
    <row r="6" customFormat="false" ht="15.75" hidden="false" customHeight="true" outlineLevel="0" collapsed="false">
      <c r="A6" s="19" t="n">
        <v>2</v>
      </c>
      <c r="B6" s="14" t="n">
        <v>20</v>
      </c>
      <c r="C6" s="15"/>
      <c r="D6" s="14"/>
      <c r="E6" s="16" t="s">
        <v>20</v>
      </c>
      <c r="F6" s="16" t="n">
        <v>0</v>
      </c>
      <c r="G6" s="17" t="n">
        <f aca="false">H5</f>
        <v>89.991</v>
      </c>
      <c r="H6" s="18" t="n">
        <f aca="true">G6+(OFFSET($B$4,$F6,0)+1)*3.333</f>
        <v>93.324</v>
      </c>
      <c r="I6" s="16" t="s">
        <v>21</v>
      </c>
    </row>
    <row r="7" customFormat="false" ht="15.75" hidden="false" customHeight="true" outlineLevel="0" collapsed="false">
      <c r="A7" s="19" t="n">
        <v>3</v>
      </c>
      <c r="B7" s="14" t="n">
        <v>5</v>
      </c>
      <c r="C7" s="15"/>
      <c r="D7" s="14"/>
      <c r="E7" s="20" t="s">
        <v>22</v>
      </c>
      <c r="F7" s="16" t="n">
        <v>0</v>
      </c>
      <c r="G7" s="21" t="n">
        <f aca="false">H6</f>
        <v>93.324</v>
      </c>
      <c r="H7" s="22" t="n">
        <f aca="true">G7+(OFFSET($B$4,$F7,0)+1)*3.333</f>
        <v>96.657</v>
      </c>
      <c r="I7" s="16" t="s">
        <v>23</v>
      </c>
    </row>
    <row r="8" customFormat="false" ht="15.75" hidden="false" customHeight="true" outlineLevel="0" collapsed="false">
      <c r="A8" s="19" t="n">
        <v>4</v>
      </c>
      <c r="B8" s="14" t="n">
        <v>17</v>
      </c>
      <c r="C8" s="15"/>
      <c r="D8" s="14"/>
      <c r="E8" s="16" t="s">
        <v>24</v>
      </c>
      <c r="F8" s="16" t="n">
        <v>3</v>
      </c>
      <c r="G8" s="17" t="n">
        <f aca="false">H7</f>
        <v>96.657</v>
      </c>
      <c r="H8" s="18" t="n">
        <f aca="true">G8+(OFFSET($B$4,$F8,0)+1)*3.333</f>
        <v>116.655</v>
      </c>
      <c r="I8" s="16" t="s">
        <v>25</v>
      </c>
    </row>
    <row r="9" customFormat="false" ht="15.75" hidden="false" customHeight="true" outlineLevel="0" collapsed="false">
      <c r="A9" s="19" t="n">
        <v>5</v>
      </c>
      <c r="B9" s="14" t="n">
        <v>4</v>
      </c>
      <c r="C9" s="15"/>
      <c r="D9" s="14" t="s">
        <v>26</v>
      </c>
      <c r="E9" s="20" t="s">
        <v>27</v>
      </c>
      <c r="F9" s="16" t="n">
        <v>0</v>
      </c>
      <c r="G9" s="21" t="n">
        <f aca="false">H8</f>
        <v>116.655</v>
      </c>
      <c r="H9" s="18" t="n">
        <f aca="true">G9+(OFFSET($B$4,$F9,0)+1)*3.333</f>
        <v>119.988</v>
      </c>
      <c r="I9" s="16" t="s">
        <v>28</v>
      </c>
    </row>
    <row r="10" customFormat="false" ht="15.75" hidden="false" customHeight="true" outlineLevel="0" collapsed="false">
      <c r="A10" s="19" t="n">
        <v>6</v>
      </c>
      <c r="B10" s="14" t="n">
        <v>0</v>
      </c>
      <c r="C10" s="15"/>
      <c r="D10" s="14"/>
      <c r="E10" s="16" t="s">
        <v>29</v>
      </c>
      <c r="F10" s="16" t="n">
        <v>0</v>
      </c>
      <c r="G10" s="17" t="n">
        <f aca="false">H9</f>
        <v>119.988</v>
      </c>
      <c r="H10" s="18" t="n">
        <f aca="true">G10+(OFFSET($B$4,$F10,0)+1)*3.333</f>
        <v>123.321</v>
      </c>
      <c r="I10" s="16" t="s">
        <v>30</v>
      </c>
    </row>
    <row r="11" customFormat="false" ht="15.75" hidden="false" customHeight="true" outlineLevel="0" collapsed="false">
      <c r="A11" s="19" t="n">
        <v>7</v>
      </c>
      <c r="B11" s="14" t="n">
        <v>0</v>
      </c>
      <c r="C11" s="15"/>
      <c r="D11" s="14"/>
      <c r="E11" s="16" t="s">
        <v>31</v>
      </c>
      <c r="F11" s="16" t="n">
        <v>0</v>
      </c>
      <c r="G11" s="21" t="n">
        <f aca="false">H10</f>
        <v>123.321</v>
      </c>
      <c r="H11" s="22" t="n">
        <f aca="true">G11+(OFFSET($B$4,$F11,0)+1)*3.333</f>
        <v>126.654</v>
      </c>
      <c r="I11" s="16" t="s">
        <v>32</v>
      </c>
    </row>
    <row r="12" customFormat="false" ht="15.75" hidden="false" customHeight="true" outlineLevel="0" collapsed="false">
      <c r="A12" s="15"/>
      <c r="B12" s="15"/>
      <c r="C12" s="15" t="s">
        <v>5</v>
      </c>
      <c r="D12" s="14"/>
      <c r="E12" s="16" t="s">
        <v>33</v>
      </c>
      <c r="F12" s="16" t="n">
        <v>0</v>
      </c>
      <c r="G12" s="17" t="n">
        <f aca="false">H11</f>
        <v>126.654</v>
      </c>
      <c r="H12" s="18" t="n">
        <f aca="true">G12+(OFFSET($B$4,$F12,0)+1)*3.333</f>
        <v>129.987</v>
      </c>
      <c r="I12" s="16" t="s">
        <v>34</v>
      </c>
    </row>
    <row r="13" customFormat="false" ht="15.75" hidden="false" customHeight="true" outlineLevel="0" collapsed="false">
      <c r="A13" s="23" t="s">
        <v>35</v>
      </c>
      <c r="B13" s="23"/>
      <c r="C13" s="15"/>
      <c r="D13" s="14" t="s">
        <v>36</v>
      </c>
      <c r="E13" s="20" t="s">
        <v>37</v>
      </c>
      <c r="F13" s="16" t="n">
        <v>0</v>
      </c>
      <c r="G13" s="24" t="n">
        <f aca="false">H10</f>
        <v>123.321</v>
      </c>
      <c r="H13" s="22" t="n">
        <f aca="true">G13+(OFFSET($B$4,$F13,0)+1)*3.333</f>
        <v>126.654</v>
      </c>
      <c r="I13" s="16" t="s">
        <v>38</v>
      </c>
    </row>
    <row r="14" customFormat="false" ht="15.75" hidden="false" customHeight="true" outlineLevel="0" collapsed="false">
      <c r="A14" s="19" t="s">
        <v>39</v>
      </c>
      <c r="B14" s="14" t="n">
        <v>90</v>
      </c>
      <c r="C14" s="15"/>
      <c r="D14" s="14"/>
      <c r="E14" s="16" t="s">
        <v>40</v>
      </c>
      <c r="F14" s="16" t="n">
        <v>0</v>
      </c>
      <c r="G14" s="25" t="n">
        <f aca="false">H13</f>
        <v>126.654</v>
      </c>
      <c r="H14" s="18" t="n">
        <f aca="true">G14+(OFFSET($B$4,$F14,0)+1)*3.333</f>
        <v>129.987</v>
      </c>
      <c r="I14" s="16" t="s">
        <v>41</v>
      </c>
    </row>
    <row r="15" customFormat="false" ht="15.75" hidden="false" customHeight="true" outlineLevel="0" collapsed="false">
      <c r="A15" s="19" t="s">
        <v>42</v>
      </c>
      <c r="B15" s="14" t="n">
        <v>25</v>
      </c>
      <c r="C15" s="15"/>
      <c r="D15" s="14" t="s">
        <v>43</v>
      </c>
      <c r="E15" s="16" t="s">
        <v>44</v>
      </c>
      <c r="F15" s="16" t="n">
        <v>0</v>
      </c>
      <c r="G15" s="17" t="n">
        <f aca="false">H12</f>
        <v>129.987</v>
      </c>
      <c r="H15" s="18" t="n">
        <f aca="true">G15+(OFFSET($B$4,$F15,0)+1)*3.333</f>
        <v>133.32</v>
      </c>
      <c r="I15" s="16" t="s">
        <v>45</v>
      </c>
    </row>
    <row r="16" customFormat="false" ht="15.75" hidden="false" customHeight="true" outlineLevel="0" collapsed="false">
      <c r="A16" s="19" t="s">
        <v>46</v>
      </c>
      <c r="B16" s="14" t="n">
        <v>120</v>
      </c>
      <c r="C16" s="15"/>
      <c r="D16" s="14"/>
      <c r="E16" s="16" t="s">
        <v>47</v>
      </c>
      <c r="F16" s="16" t="n">
        <v>4</v>
      </c>
      <c r="G16" s="17" t="n">
        <f aca="false">H15</f>
        <v>133.32</v>
      </c>
      <c r="H16" s="18" t="n">
        <f aca="true">G16+(OFFSET($B$4,$F16,0)+1)*3.333</f>
        <v>193.314</v>
      </c>
      <c r="I16" s="16" t="s">
        <v>48</v>
      </c>
    </row>
    <row r="17" customFormat="false" ht="15.75" hidden="false" customHeight="true" outlineLevel="0" collapsed="false">
      <c r="A17" s="19" t="s">
        <v>49</v>
      </c>
      <c r="B17" s="14" t="n">
        <v>18</v>
      </c>
      <c r="C17" s="15"/>
      <c r="D17" s="14"/>
      <c r="E17" s="20" t="s">
        <v>37</v>
      </c>
      <c r="F17" s="16" t="n">
        <v>0</v>
      </c>
      <c r="G17" s="21" t="n">
        <f aca="false">H16</f>
        <v>193.314</v>
      </c>
      <c r="H17" s="22" t="n">
        <f aca="true">G17+(OFFSET($B$4,$F17,0)+1)*3.333</f>
        <v>196.647</v>
      </c>
      <c r="I17" s="16" t="s">
        <v>50</v>
      </c>
    </row>
    <row r="18" customFormat="false" ht="15.75" hidden="false" customHeight="true" outlineLevel="0" collapsed="false">
      <c r="A18" s="19" t="s">
        <v>51</v>
      </c>
      <c r="B18" s="14" t="n">
        <v>30</v>
      </c>
      <c r="C18" s="15"/>
      <c r="D18" s="14"/>
      <c r="E18" s="16" t="s">
        <v>27</v>
      </c>
      <c r="F18" s="16" t="n">
        <v>0</v>
      </c>
      <c r="G18" s="21" t="n">
        <f aca="false">H17</f>
        <v>196.647</v>
      </c>
      <c r="H18" s="18" t="n">
        <f aca="true">G18+(OFFSET($B$4,$F18,0)+1)*3.333</f>
        <v>199.98</v>
      </c>
      <c r="I18" s="16" t="s">
        <v>52</v>
      </c>
    </row>
    <row r="19" customFormat="false" ht="15.75" hidden="false" customHeight="true" outlineLevel="0" collapsed="false">
      <c r="A19" s="19" t="s">
        <v>53</v>
      </c>
      <c r="B19" s="14" t="n">
        <v>115</v>
      </c>
      <c r="C19" s="15"/>
      <c r="D19" s="14"/>
      <c r="E19" s="16" t="s">
        <v>54</v>
      </c>
      <c r="F19" s="16" t="n">
        <v>5</v>
      </c>
      <c r="G19" s="17" t="n">
        <f aca="false">H18</f>
        <v>199.98</v>
      </c>
      <c r="H19" s="18" t="n">
        <f aca="true">G19+(OFFSET($B$4,$F19,0)+1)*3.333</f>
        <v>216.645</v>
      </c>
      <c r="I19" s="16" t="s">
        <v>55</v>
      </c>
    </row>
    <row r="20" customFormat="false" ht="15.75" hidden="false" customHeight="true" outlineLevel="0" collapsed="false">
      <c r="A20" s="19" t="s">
        <v>56</v>
      </c>
      <c r="B20" s="14" t="n">
        <v>35</v>
      </c>
      <c r="C20" s="15"/>
      <c r="D20" s="14"/>
      <c r="E20" s="16" t="s">
        <v>57</v>
      </c>
      <c r="F20" s="16" t="n">
        <v>0</v>
      </c>
      <c r="G20" s="21" t="n">
        <f aca="false">H19</f>
        <v>216.645</v>
      </c>
      <c r="H20" s="18" t="n">
        <f aca="true">G20+(OFFSET($B$4,$F20,0)+1)*3.333</f>
        <v>219.978</v>
      </c>
      <c r="I20" s="16" t="s">
        <v>58</v>
      </c>
    </row>
    <row r="21" customFormat="false" ht="15.75" hidden="false" customHeight="true" outlineLevel="0" collapsed="false">
      <c r="A21" s="19" t="s">
        <v>59</v>
      </c>
      <c r="B21" s="16" t="n">
        <v>35</v>
      </c>
      <c r="C21" s="15"/>
      <c r="D21" s="14"/>
      <c r="E21" s="16" t="s">
        <v>22</v>
      </c>
      <c r="F21" s="16" t="n">
        <v>0</v>
      </c>
      <c r="G21" s="21" t="n">
        <f aca="false">H20</f>
        <v>219.978</v>
      </c>
      <c r="H21" s="18" t="n">
        <f aca="true">G21+(OFFSET($B$4,$F21,0)+1)*3.333</f>
        <v>223.311</v>
      </c>
      <c r="I21" s="16" t="s">
        <v>60</v>
      </c>
    </row>
    <row r="22" customFormat="false" ht="15.75" hidden="false" customHeight="true" outlineLevel="0" collapsed="false">
      <c r="A22" s="19" t="s">
        <v>61</v>
      </c>
      <c r="B22" s="14" t="n">
        <v>20</v>
      </c>
      <c r="C22" s="15"/>
      <c r="D22" s="14"/>
      <c r="E22" s="16" t="s">
        <v>62</v>
      </c>
      <c r="F22" s="16" t="n">
        <v>0</v>
      </c>
      <c r="G22" s="17" t="n">
        <f aca="false">H21</f>
        <v>223.311</v>
      </c>
      <c r="H22" s="18" t="n">
        <f aca="true">G22+(OFFSET($B$4,$F22,0)+1)*3.333</f>
        <v>226.644</v>
      </c>
      <c r="I22" s="16"/>
    </row>
    <row r="23" customFormat="false" ht="15.75" hidden="false" customHeight="true" outlineLevel="0" collapsed="false">
      <c r="A23" s="19" t="s">
        <v>63</v>
      </c>
      <c r="B23" s="14" t="n">
        <v>60</v>
      </c>
      <c r="C23" s="15"/>
      <c r="D23" s="14"/>
      <c r="E23" s="16" t="s">
        <v>64</v>
      </c>
      <c r="F23" s="16" t="n">
        <v>6</v>
      </c>
      <c r="G23" s="17" t="n">
        <f aca="false">H22</f>
        <v>226.644</v>
      </c>
      <c r="H23" s="18" t="n">
        <f aca="true">G23+(OFFSET($B$4,$F23,0)+1)*3.333</f>
        <v>229.977</v>
      </c>
      <c r="I23" s="16" t="s">
        <v>65</v>
      </c>
    </row>
    <row r="24" customFormat="false" ht="15.75" hidden="false" customHeight="true" outlineLevel="0" collapsed="false">
      <c r="A24" s="19" t="s">
        <v>66</v>
      </c>
      <c r="B24" s="14" t="n">
        <v>120</v>
      </c>
      <c r="C24" s="15"/>
      <c r="D24" s="14"/>
      <c r="E24" s="20" t="s">
        <v>67</v>
      </c>
      <c r="F24" s="16" t="n">
        <v>0</v>
      </c>
      <c r="G24" s="21" t="n">
        <f aca="false">H23</f>
        <v>229.977</v>
      </c>
      <c r="H24" s="18" t="n">
        <f aca="true">G24+(OFFSET($B$4,$F24,0)+1)*3.333</f>
        <v>233.31</v>
      </c>
      <c r="I24" s="26" t="s">
        <v>68</v>
      </c>
    </row>
    <row r="25" customFormat="false" ht="15.75" hidden="false" customHeight="true" outlineLevel="0" collapsed="false">
      <c r="A25" s="19" t="s">
        <v>69</v>
      </c>
      <c r="B25" s="14" t="n">
        <v>60</v>
      </c>
      <c r="C25" s="15"/>
      <c r="D25" s="14"/>
      <c r="E25" s="16" t="s">
        <v>70</v>
      </c>
      <c r="F25" s="16" t="n">
        <v>0</v>
      </c>
      <c r="G25" s="27" t="n">
        <v>0</v>
      </c>
      <c r="H25" s="28" t="n">
        <f aca="false">G25+3.333</f>
        <v>3.333</v>
      </c>
      <c r="I25" s="16"/>
    </row>
    <row r="26" customFormat="false" ht="15.75" hidden="false" customHeight="true" outlineLevel="0" collapsed="false">
      <c r="A26" s="19" t="s">
        <v>71</v>
      </c>
      <c r="B26" s="14" t="n">
        <v>220</v>
      </c>
      <c r="C26" s="15"/>
      <c r="D26" s="14" t="s">
        <v>72</v>
      </c>
      <c r="E26" s="16" t="s">
        <v>73</v>
      </c>
      <c r="F26" s="16" t="n">
        <v>0</v>
      </c>
      <c r="G26" s="17" t="n">
        <v>0</v>
      </c>
      <c r="H26" s="18" t="n">
        <f aca="true">G26+(OFFSET($B$4,$F26,0)+1)*3.333</f>
        <v>3.333</v>
      </c>
      <c r="I26" s="16" t="s">
        <v>74</v>
      </c>
    </row>
    <row r="27" customFormat="false" ht="15.75" hidden="false" customHeight="true" outlineLevel="0" collapsed="false">
      <c r="A27" s="19" t="s">
        <v>75</v>
      </c>
      <c r="B27" s="14" t="n">
        <v>255</v>
      </c>
      <c r="C27" s="15"/>
      <c r="D27" s="14" t="s">
        <v>76</v>
      </c>
      <c r="E27" s="16" t="s">
        <v>77</v>
      </c>
      <c r="F27" s="16" t="n">
        <v>0</v>
      </c>
      <c r="G27" s="17" t="n">
        <f aca="false">H26</f>
        <v>3.333</v>
      </c>
      <c r="H27" s="18" t="n">
        <f aca="true">G27+(OFFSET($B$4,$F27,0)+1)*3.333</f>
        <v>6.666</v>
      </c>
      <c r="I27" s="16"/>
    </row>
    <row r="28" customFormat="false" ht="15.75" hidden="false" customHeight="true" outlineLevel="0" collapsed="false">
      <c r="A28" s="19" t="s">
        <v>78</v>
      </c>
      <c r="B28" s="14" t="n">
        <v>95</v>
      </c>
      <c r="C28" s="15"/>
      <c r="D28" s="14"/>
      <c r="E28" s="16" t="s">
        <v>79</v>
      </c>
      <c r="F28" s="16" t="n">
        <v>0</v>
      </c>
      <c r="G28" s="17" t="n">
        <f aca="false">H27</f>
        <v>6.666</v>
      </c>
      <c r="H28" s="18" t="n">
        <f aca="true">G28+(OFFSET($B$4,$F28,0)+1)*3.333</f>
        <v>9.999</v>
      </c>
      <c r="I28" s="16"/>
    </row>
    <row r="29" customFormat="false" ht="15.75" hidden="false" customHeight="true" outlineLevel="0" collapsed="false">
      <c r="A29" s="19"/>
      <c r="B29" s="14"/>
      <c r="C29" s="15"/>
      <c r="D29" s="14"/>
      <c r="E29" s="16" t="s">
        <v>80</v>
      </c>
      <c r="F29" s="16" t="n">
        <v>0</v>
      </c>
      <c r="G29" s="17" t="n">
        <f aca="false">H28</f>
        <v>9.999</v>
      </c>
      <c r="H29" s="18" t="n">
        <f aca="true">G29+(OFFSET($B$4,$F29,0)+1)*3.333</f>
        <v>13.332</v>
      </c>
      <c r="I29" s="16"/>
    </row>
    <row r="30" customFormat="false" ht="15.75" hidden="false" customHeight="true" outlineLevel="0" collapsed="false">
      <c r="A30" s="19"/>
      <c r="B30" s="14"/>
      <c r="C30" s="15"/>
      <c r="D30" s="14"/>
      <c r="E30" s="16" t="s">
        <v>81</v>
      </c>
      <c r="F30" s="16" t="n">
        <v>0</v>
      </c>
      <c r="G30" s="17" t="n">
        <f aca="false">H29</f>
        <v>13.332</v>
      </c>
      <c r="H30" s="18" t="n">
        <f aca="true">G30+(OFFSET($B$4,$F30,0)+1)*3.333</f>
        <v>16.665</v>
      </c>
      <c r="I30" s="16"/>
    </row>
    <row r="31" customFormat="false" ht="15.75" hidden="false" customHeight="true" outlineLevel="0" collapsed="false">
      <c r="A31" s="19"/>
      <c r="B31" s="14"/>
      <c r="C31" s="15"/>
      <c r="D31" s="14"/>
      <c r="E31" s="16" t="s">
        <v>82</v>
      </c>
      <c r="F31" s="16" t="n">
        <v>7</v>
      </c>
      <c r="G31" s="29"/>
      <c r="H31" s="16"/>
      <c r="I31" s="16" t="s">
        <v>83</v>
      </c>
    </row>
    <row r="32" customFormat="false" ht="15.75" hidden="false" customHeight="true" outlineLevel="0" collapsed="false">
      <c r="A32" s="19"/>
      <c r="B32" s="14"/>
      <c r="C32" s="15"/>
      <c r="D32" s="14"/>
      <c r="E32" s="16" t="s">
        <v>84</v>
      </c>
      <c r="F32" s="16" t="n">
        <v>0</v>
      </c>
      <c r="G32" s="29"/>
      <c r="H32" s="16"/>
      <c r="I32" s="16"/>
    </row>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A2:B2"/>
    <mergeCell ref="G2:I2"/>
    <mergeCell ref="A13:B13"/>
  </mergeCells>
  <conditionalFormatting sqref="G24">
    <cfRule type="expression" priority="2" aboveAverage="0" equalAverage="0" bottom="0" percent="0" rank="0" text="" dxfId="0">
      <formula>ROUND($G$24 - $H$7, 1) &lt; VLOOKUP("tRAS",$A$14:$B$32, 2, 0)</formula>
    </cfRule>
  </conditionalFormatting>
  <conditionalFormatting sqref="G24">
    <cfRule type="expression" priority="3" aboveAverage="0" equalAverage="0" bottom="0" percent="0" rank="0" text="" dxfId="1">
      <formula>ROUND($G$24 - $H$26, 1) &lt; VLOOKUP("tRC",$A$14:$B$32, 2, 0)</formula>
    </cfRule>
  </conditionalFormatting>
  <conditionalFormatting sqref="G13">
    <cfRule type="expression" priority="4" aboveAverage="0" equalAverage="0" bottom="0" percent="0" rank="0" text="" dxfId="0">
      <formula>ROUND($G$13-$H$7, 1) &lt; VLOOKUP("tRCD(min)",$A$14:$B$32,2,0)</formula>
    </cfRule>
  </conditionalFormatting>
  <conditionalFormatting sqref="G13">
    <cfRule type="expression" priority="5" aboveAverage="0" equalAverage="0" bottom="0" percent="0" rank="0" text="" dxfId="1">
      <formula>ROUND($G$13-$H$26,1) &lt; VLOOKUP("tCPN",$A$14:$B$32,2,0)</formula>
    </cfRule>
  </conditionalFormatting>
  <conditionalFormatting sqref="G13">
    <cfRule type="expression" priority="6" aboveAverage="0" equalAverage="0" bottom="0" percent="0" rank="0" text="" dxfId="2">
      <formula>ROUND($G$13-$H$7, 1) &gt;= VLOOKUP("tRCD(max)",$A$14:$B$32,2,0)</formula>
    </cfRule>
  </conditionalFormatting>
  <conditionalFormatting sqref="G18">
    <cfRule type="expression" priority="7" aboveAverage="0" equalAverage="0" bottom="0" percent="0" rank="0" text="" dxfId="0">
      <formula>ROUND($G$18 - $H$11, 1) &lt; VLOOKUP("tCAH",$A$14:$B$26,2,0)</formula>
    </cfRule>
  </conditionalFormatting>
  <conditionalFormatting sqref="G7">
    <cfRule type="expression" priority="8" aboveAverage="0" equalAverage="0" bottom="0" percent="0" rank="0" text="" dxfId="0">
      <formula>ROUND($G$7-$H$26,1) &lt; VLOOKUP("tRP",$A$14:$B$32,2,0)</formula>
    </cfRule>
  </conditionalFormatting>
  <conditionalFormatting sqref="G9">
    <cfRule type="expression" priority="9" aboveAverage="0" equalAverage="0" bottom="0" percent="0" rank="0" text="" dxfId="0">
      <formula>ROUND($G$9 - $H$7, 1) &lt; VLOOKUP("tRAH",$A$14:$B$32,2,0)</formula>
    </cfRule>
  </conditionalFormatting>
  <conditionalFormatting sqref="G17">
    <cfRule type="expression" priority="10" aboveAverage="0" equalAverage="0" bottom="0" percent="0" rank="0" text="" dxfId="0">
      <formula>ROUND($G$17 - $H$11, 1) &lt; VLOOKUP("tWP",$A$14:$B$32,2,0)</formula>
    </cfRule>
  </conditionalFormatting>
  <conditionalFormatting sqref="G11">
    <cfRule type="expression" priority="11" aboveAverage="0" equalAverage="0" bottom="0" percent="0" rank="0" text="" dxfId="1">
      <formula>ROUND($G$11-$H$26,1) &lt; VLOOKUP("tCPN",$A$14:$B$32,2,0)</formula>
    </cfRule>
  </conditionalFormatting>
  <conditionalFormatting sqref="G18">
    <cfRule type="expression" priority="12" aboveAverage="0" equalAverage="0" bottom="0" percent="0" rank="0" text="" dxfId="0">
      <formula>ROUND($G$18 - $H$13, 1) &lt; VLOOKUP("tCAH",$A$14:$B$26,2,0)</formula>
    </cfRule>
  </conditionalFormatting>
  <conditionalFormatting sqref="G20">
    <cfRule type="expression" priority="13" aboveAverage="0" equalAverage="0" bottom="0" percent="0" rank="0" text="" dxfId="0">
      <formula>ROUND($G$20 - $H$7, 1) &lt; VLOOKUP("tRAC",$A$14:$B$26,2,0)</formula>
    </cfRule>
  </conditionalFormatting>
  <conditionalFormatting sqref="G17">
    <cfRule type="expression" priority="14" aboveAverage="0" equalAverage="0" bottom="0" percent="0" rank="0" text="" dxfId="1">
      <formula>ROUND($G$17 - $H$11, 1) &lt; VLOOKUP("tWCH",$A$14:$B$32,2,0)</formula>
    </cfRule>
  </conditionalFormatting>
  <conditionalFormatting sqref="G21">
    <cfRule type="expression" priority="15" aboveAverage="0" equalAverage="0" bottom="0" percent="0" rank="0" text="" dxfId="0">
      <formula>ROUND($G$21 - $H$13, 1) &lt; VLOOKUP("tCAS", $A$14:$B$32, 2, 0)</formula>
    </cfRule>
  </conditionalFormatting>
  <conditionalFormatting sqref="G17">
    <cfRule type="expression" priority="16" aboveAverage="0" equalAverage="0" bottom="0" percent="0" rank="0" text="" dxfId="3">
      <formula>ROUND($G$17 - $H$7, 1) &lt; VLOOKUP("tWCR",$A$14:$B$32,2,0)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9.63"/>
    <col collapsed="false" customWidth="true" hidden="false" outlineLevel="0" max="2" min="2" style="0" width="8.63"/>
    <col collapsed="false" customWidth="true" hidden="false" outlineLevel="0" max="3" min="3" style="0" width="5.25"/>
    <col collapsed="false" customWidth="true" hidden="false" outlineLevel="0" max="4" min="4" style="0" width="14.88"/>
    <col collapsed="false" customWidth="true" hidden="false" outlineLevel="0" max="5" min="5" style="0" width="19.88"/>
    <col collapsed="false" customWidth="true" hidden="false" outlineLevel="0" max="6" min="6" style="0" width="6.38"/>
    <col collapsed="false" customWidth="true" hidden="false" outlineLevel="0" max="7" min="7" style="0" width="11.38"/>
    <col collapsed="false" customWidth="true" hidden="false" outlineLevel="0" max="8" min="8" style="0" width="10.38"/>
    <col collapsed="false" customWidth="true" hidden="false" outlineLevel="0" max="9" min="9" style="0" width="141.63"/>
  </cols>
  <sheetData>
    <row r="1" customFormat="false" ht="15.75" hidden="false" customHeight="true" outlineLevel="0" collapsed="false">
      <c r="H1" s="6"/>
      <c r="I1" s="6"/>
    </row>
    <row r="2" customFormat="false" ht="15.75" hidden="false" customHeight="true" outlineLevel="0" collapsed="false">
      <c r="A2" s="7" t="s">
        <v>6</v>
      </c>
      <c r="B2" s="7"/>
      <c r="F2" s="8"/>
      <c r="G2" s="7" t="s">
        <v>7</v>
      </c>
      <c r="H2" s="7"/>
      <c r="I2" s="7"/>
    </row>
    <row r="3" customFormat="false" ht="15.75" hidden="false" customHeight="true" outlineLevel="0" collapsed="false">
      <c r="A3" s="9" t="s">
        <v>8</v>
      </c>
      <c r="B3" s="10" t="s">
        <v>9</v>
      </c>
      <c r="C3" s="11"/>
      <c r="D3" s="10" t="s">
        <v>10</v>
      </c>
      <c r="E3" s="12" t="s">
        <v>11</v>
      </c>
      <c r="F3" s="12" t="s">
        <v>12</v>
      </c>
      <c r="G3" s="13" t="s">
        <v>13</v>
      </c>
      <c r="H3" s="12" t="s">
        <v>14</v>
      </c>
      <c r="I3" s="9" t="s">
        <v>1</v>
      </c>
    </row>
    <row r="4" customFormat="false" ht="15.75" hidden="false" customHeight="true" outlineLevel="0" collapsed="false">
      <c r="A4" s="9" t="n">
        <v>0</v>
      </c>
      <c r="B4" s="14" t="n">
        <v>0</v>
      </c>
      <c r="C4" s="15"/>
      <c r="D4" s="14" t="s">
        <v>15</v>
      </c>
      <c r="E4" s="16" t="s">
        <v>16</v>
      </c>
      <c r="F4" s="16" t="n">
        <v>1</v>
      </c>
      <c r="G4" s="17" t="n">
        <f aca="false">H30</f>
        <v>16.665</v>
      </c>
      <c r="H4" s="18" t="n">
        <f aca="true">G4+(OFFSET($B$4,$F4,0)+1)*3.333</f>
        <v>19.998</v>
      </c>
      <c r="I4" s="16" t="s">
        <v>17</v>
      </c>
    </row>
    <row r="5" customFormat="false" ht="15.75" hidden="false" customHeight="true" outlineLevel="0" collapsed="false">
      <c r="A5" s="19" t="n">
        <v>1</v>
      </c>
      <c r="B5" s="14" t="n">
        <v>0</v>
      </c>
      <c r="C5" s="15"/>
      <c r="D5" s="14"/>
      <c r="E5" s="16" t="s">
        <v>18</v>
      </c>
      <c r="F5" s="16" t="n">
        <v>2</v>
      </c>
      <c r="G5" s="17" t="n">
        <f aca="false">H4</f>
        <v>19.998</v>
      </c>
      <c r="H5" s="18" t="n">
        <f aca="true">G5+(OFFSET($B$4,$F5,0)+1)*3.333</f>
        <v>99.99</v>
      </c>
      <c r="I5" s="16" t="s">
        <v>19</v>
      </c>
    </row>
    <row r="6" customFormat="false" ht="15.75" hidden="false" customHeight="true" outlineLevel="0" collapsed="false">
      <c r="A6" s="19" t="n">
        <v>2</v>
      </c>
      <c r="B6" s="14" t="n">
        <v>23</v>
      </c>
      <c r="C6" s="15"/>
      <c r="D6" s="14"/>
      <c r="E6" s="16" t="s">
        <v>20</v>
      </c>
      <c r="F6" s="16" t="n">
        <v>0</v>
      </c>
      <c r="G6" s="17" t="n">
        <f aca="false">H5</f>
        <v>99.99</v>
      </c>
      <c r="H6" s="18" t="n">
        <f aca="true">G6+(OFFSET($B$4,$F6,0)+1)*3.333</f>
        <v>103.323</v>
      </c>
      <c r="I6" s="16" t="s">
        <v>21</v>
      </c>
    </row>
    <row r="7" customFormat="false" ht="15.75" hidden="false" customHeight="true" outlineLevel="0" collapsed="false">
      <c r="A7" s="19" t="n">
        <v>3</v>
      </c>
      <c r="B7" s="14" t="n">
        <v>5</v>
      </c>
      <c r="C7" s="15"/>
      <c r="D7" s="14"/>
      <c r="E7" s="20" t="s">
        <v>22</v>
      </c>
      <c r="F7" s="16" t="n">
        <v>0</v>
      </c>
      <c r="G7" s="21" t="n">
        <f aca="false">H6</f>
        <v>103.323</v>
      </c>
      <c r="H7" s="22" t="n">
        <f aca="true">G7+(OFFSET($B$4,$F7,0)+1)*3.333</f>
        <v>106.656</v>
      </c>
      <c r="I7" s="16" t="s">
        <v>23</v>
      </c>
    </row>
    <row r="8" customFormat="false" ht="15.75" hidden="false" customHeight="true" outlineLevel="0" collapsed="false">
      <c r="A8" s="19" t="n">
        <v>4</v>
      </c>
      <c r="B8" s="14" t="n">
        <v>24</v>
      </c>
      <c r="C8" s="15"/>
      <c r="D8" s="14"/>
      <c r="E8" s="16" t="s">
        <v>24</v>
      </c>
      <c r="F8" s="16" t="n">
        <v>3</v>
      </c>
      <c r="G8" s="17" t="n">
        <f aca="false">H7</f>
        <v>106.656</v>
      </c>
      <c r="H8" s="18" t="n">
        <f aca="true">G8+(OFFSET($B$4,$F8,0)+1)*3.333</f>
        <v>126.654</v>
      </c>
      <c r="I8" s="16" t="s">
        <v>25</v>
      </c>
    </row>
    <row r="9" customFormat="false" ht="15.75" hidden="false" customHeight="true" outlineLevel="0" collapsed="false">
      <c r="A9" s="19" t="n">
        <v>5</v>
      </c>
      <c r="B9" s="14" t="n">
        <v>6</v>
      </c>
      <c r="C9" s="15"/>
      <c r="D9" s="14" t="s">
        <v>26</v>
      </c>
      <c r="E9" s="20" t="s">
        <v>27</v>
      </c>
      <c r="F9" s="16" t="n">
        <v>0</v>
      </c>
      <c r="G9" s="21" t="n">
        <f aca="false">H8</f>
        <v>126.654</v>
      </c>
      <c r="H9" s="18" t="n">
        <f aca="true">G9+(OFFSET($B$4,$F9,0)+1)*3.333</f>
        <v>129.987</v>
      </c>
      <c r="I9" s="16" t="s">
        <v>28</v>
      </c>
    </row>
    <row r="10" customFormat="false" ht="15.75" hidden="false" customHeight="true" outlineLevel="0" collapsed="false">
      <c r="A10" s="19" t="n">
        <v>6</v>
      </c>
      <c r="B10" s="14" t="n">
        <v>0</v>
      </c>
      <c r="C10" s="15"/>
      <c r="D10" s="14"/>
      <c r="E10" s="16" t="s">
        <v>29</v>
      </c>
      <c r="F10" s="16" t="n">
        <v>0</v>
      </c>
      <c r="G10" s="17" t="n">
        <f aca="false">H9</f>
        <v>129.987</v>
      </c>
      <c r="H10" s="18" t="n">
        <f aca="true">G10+(OFFSET($B$4,$F10,0)+1)*3.333</f>
        <v>133.32</v>
      </c>
      <c r="I10" s="16" t="s">
        <v>30</v>
      </c>
    </row>
    <row r="11" customFormat="false" ht="15.75" hidden="false" customHeight="true" outlineLevel="0" collapsed="false">
      <c r="A11" s="19" t="n">
        <v>7</v>
      </c>
      <c r="B11" s="14" t="n">
        <v>0</v>
      </c>
      <c r="C11" s="15"/>
      <c r="D11" s="14"/>
      <c r="E11" s="16" t="s">
        <v>31</v>
      </c>
      <c r="F11" s="16" t="n">
        <v>0</v>
      </c>
      <c r="G11" s="21" t="n">
        <f aca="false">H10</f>
        <v>133.32</v>
      </c>
      <c r="H11" s="22" t="n">
        <f aca="true">G11+(OFFSET($B$4,$F11,0)+1)*3.333</f>
        <v>136.653</v>
      </c>
      <c r="I11" s="16" t="s">
        <v>32</v>
      </c>
    </row>
    <row r="12" customFormat="false" ht="15.75" hidden="false" customHeight="true" outlineLevel="0" collapsed="false">
      <c r="A12" s="15"/>
      <c r="B12" s="15"/>
      <c r="C12" s="15" t="s">
        <v>5</v>
      </c>
      <c r="D12" s="14"/>
      <c r="E12" s="16" t="s">
        <v>33</v>
      </c>
      <c r="F12" s="16" t="n">
        <v>0</v>
      </c>
      <c r="G12" s="17" t="n">
        <f aca="false">H11</f>
        <v>136.653</v>
      </c>
      <c r="H12" s="18" t="n">
        <f aca="true">G12+(OFFSET($B$4,$F12,0)+1)*3.333</f>
        <v>139.986</v>
      </c>
      <c r="I12" s="16" t="s">
        <v>34</v>
      </c>
    </row>
    <row r="13" customFormat="false" ht="15.75" hidden="false" customHeight="true" outlineLevel="0" collapsed="false">
      <c r="A13" s="23" t="s">
        <v>35</v>
      </c>
      <c r="B13" s="23"/>
      <c r="C13" s="15"/>
      <c r="D13" s="14" t="s">
        <v>36</v>
      </c>
      <c r="E13" s="20" t="s">
        <v>37</v>
      </c>
      <c r="F13" s="16" t="n">
        <v>0</v>
      </c>
      <c r="G13" s="24" t="n">
        <f aca="false">H10</f>
        <v>133.32</v>
      </c>
      <c r="H13" s="22" t="n">
        <f aca="true">G13+(OFFSET($B$4,$F13,0)+1)*3.333</f>
        <v>136.653</v>
      </c>
      <c r="I13" s="16" t="s">
        <v>38</v>
      </c>
    </row>
    <row r="14" customFormat="false" ht="15.75" hidden="false" customHeight="true" outlineLevel="0" collapsed="false">
      <c r="A14" s="19" t="s">
        <v>39</v>
      </c>
      <c r="B14" s="14" t="n">
        <v>100</v>
      </c>
      <c r="C14" s="15"/>
      <c r="D14" s="14"/>
      <c r="E14" s="16" t="s">
        <v>40</v>
      </c>
      <c r="F14" s="16" t="n">
        <v>0</v>
      </c>
      <c r="G14" s="25" t="n">
        <f aca="false">H13</f>
        <v>136.653</v>
      </c>
      <c r="H14" s="18" t="n">
        <f aca="true">G14+(OFFSET($B$4,$F14,0)+1)*3.333</f>
        <v>139.986</v>
      </c>
      <c r="I14" s="16" t="s">
        <v>41</v>
      </c>
    </row>
    <row r="15" customFormat="false" ht="15.75" hidden="false" customHeight="true" outlineLevel="0" collapsed="false">
      <c r="A15" s="19" t="s">
        <v>42</v>
      </c>
      <c r="B15" s="14" t="n">
        <v>30</v>
      </c>
      <c r="C15" s="15"/>
      <c r="D15" s="14" t="s">
        <v>43</v>
      </c>
      <c r="E15" s="16" t="s">
        <v>44</v>
      </c>
      <c r="F15" s="16" t="n">
        <v>0</v>
      </c>
      <c r="G15" s="17" t="n">
        <f aca="false">H12</f>
        <v>139.986</v>
      </c>
      <c r="H15" s="18" t="n">
        <f aca="true">G15+(OFFSET($B$4,$F15,0)+1)*3.333</f>
        <v>143.319</v>
      </c>
      <c r="I15" s="16" t="s">
        <v>45</v>
      </c>
    </row>
    <row r="16" customFormat="false" ht="15.75" hidden="false" customHeight="true" outlineLevel="0" collapsed="false">
      <c r="A16" s="19" t="s">
        <v>46</v>
      </c>
      <c r="B16" s="14" t="n">
        <v>150</v>
      </c>
      <c r="C16" s="15"/>
      <c r="D16" s="14"/>
      <c r="E16" s="16" t="s">
        <v>47</v>
      </c>
      <c r="F16" s="16" t="n">
        <v>4</v>
      </c>
      <c r="G16" s="17" t="n">
        <f aca="false">H15</f>
        <v>143.319</v>
      </c>
      <c r="H16" s="18" t="n">
        <f aca="true">G16+(OFFSET($B$4,$F16,0)+1)*3.333</f>
        <v>226.644</v>
      </c>
      <c r="I16" s="16" t="s">
        <v>48</v>
      </c>
    </row>
    <row r="17" customFormat="false" ht="15.75" hidden="false" customHeight="true" outlineLevel="0" collapsed="false">
      <c r="A17" s="19" t="s">
        <v>49</v>
      </c>
      <c r="B17" s="14" t="n">
        <v>20</v>
      </c>
      <c r="C17" s="15"/>
      <c r="D17" s="14"/>
      <c r="E17" s="20" t="s">
        <v>37</v>
      </c>
      <c r="F17" s="16" t="n">
        <v>0</v>
      </c>
      <c r="G17" s="21" t="n">
        <f aca="false">H16</f>
        <v>226.644</v>
      </c>
      <c r="H17" s="22" t="n">
        <f aca="true">G17+(OFFSET($B$4,$F17,0)+1)*3.333</f>
        <v>229.977</v>
      </c>
      <c r="I17" s="16" t="s">
        <v>50</v>
      </c>
    </row>
    <row r="18" customFormat="false" ht="15.75" hidden="false" customHeight="true" outlineLevel="0" collapsed="false">
      <c r="A18" s="19" t="s">
        <v>51</v>
      </c>
      <c r="B18" s="14" t="n">
        <v>35</v>
      </c>
      <c r="C18" s="15"/>
      <c r="D18" s="14"/>
      <c r="E18" s="16" t="s">
        <v>27</v>
      </c>
      <c r="F18" s="16" t="n">
        <v>0</v>
      </c>
      <c r="G18" s="21" t="n">
        <f aca="false">H17</f>
        <v>229.977</v>
      </c>
      <c r="H18" s="18" t="n">
        <f aca="true">G18+(OFFSET($B$4,$F18,0)+1)*3.333</f>
        <v>233.31</v>
      </c>
      <c r="I18" s="16" t="s">
        <v>52</v>
      </c>
    </row>
    <row r="19" customFormat="false" ht="15.75" hidden="false" customHeight="true" outlineLevel="0" collapsed="false">
      <c r="A19" s="19" t="s">
        <v>53</v>
      </c>
      <c r="B19" s="14" t="n">
        <v>140</v>
      </c>
      <c r="C19" s="15"/>
      <c r="D19" s="14"/>
      <c r="E19" s="16" t="s">
        <v>54</v>
      </c>
      <c r="F19" s="16" t="n">
        <v>5</v>
      </c>
      <c r="G19" s="17" t="n">
        <f aca="false">H18</f>
        <v>233.31</v>
      </c>
      <c r="H19" s="18" t="n">
        <f aca="true">G19+(OFFSET($B$4,$F19,0)+1)*3.333</f>
        <v>256.641</v>
      </c>
      <c r="I19" s="16" t="s">
        <v>55</v>
      </c>
    </row>
    <row r="20" customFormat="false" ht="15.75" hidden="false" customHeight="true" outlineLevel="0" collapsed="false">
      <c r="A20" s="19" t="s">
        <v>56</v>
      </c>
      <c r="B20" s="14" t="n">
        <v>45</v>
      </c>
      <c r="C20" s="15"/>
      <c r="D20" s="14"/>
      <c r="E20" s="16" t="s">
        <v>57</v>
      </c>
      <c r="F20" s="16" t="n">
        <v>0</v>
      </c>
      <c r="G20" s="21" t="n">
        <f aca="false">H19</f>
        <v>256.641</v>
      </c>
      <c r="H20" s="18" t="n">
        <f aca="true">G20+(OFFSET($B$4,$F20,0)+1)*3.333</f>
        <v>259.974</v>
      </c>
      <c r="I20" s="16" t="s">
        <v>58</v>
      </c>
    </row>
    <row r="21" customFormat="false" ht="15.75" hidden="false" customHeight="true" outlineLevel="0" collapsed="false">
      <c r="A21" s="19" t="s">
        <v>59</v>
      </c>
      <c r="B21" s="16" t="n">
        <v>45</v>
      </c>
      <c r="C21" s="15"/>
      <c r="D21" s="14"/>
      <c r="E21" s="16" t="s">
        <v>22</v>
      </c>
      <c r="F21" s="16" t="n">
        <v>0</v>
      </c>
      <c r="G21" s="21" t="n">
        <f aca="false">H20</f>
        <v>259.974</v>
      </c>
      <c r="H21" s="18" t="n">
        <f aca="true">G21+(OFFSET($B$4,$F21,0)+1)*3.333</f>
        <v>263.307</v>
      </c>
      <c r="I21" s="16" t="s">
        <v>60</v>
      </c>
    </row>
    <row r="22" customFormat="false" ht="15.75" hidden="false" customHeight="true" outlineLevel="0" collapsed="false">
      <c r="A22" s="19" t="s">
        <v>61</v>
      </c>
      <c r="B22" s="14" t="n">
        <v>25</v>
      </c>
      <c r="C22" s="15"/>
      <c r="D22" s="14"/>
      <c r="E22" s="16" t="s">
        <v>62</v>
      </c>
      <c r="F22" s="16" t="n">
        <v>0</v>
      </c>
      <c r="G22" s="17" t="n">
        <f aca="false">H21</f>
        <v>263.307</v>
      </c>
      <c r="H22" s="18" t="n">
        <f aca="true">G22+(OFFSET($B$4,$F22,0)+1)*3.333</f>
        <v>266.64</v>
      </c>
      <c r="I22" s="16"/>
    </row>
    <row r="23" customFormat="false" ht="15.75" hidden="false" customHeight="true" outlineLevel="0" collapsed="false">
      <c r="A23" s="19" t="s">
        <v>63</v>
      </c>
      <c r="B23" s="14" t="n">
        <v>75</v>
      </c>
      <c r="C23" s="15"/>
      <c r="D23" s="14"/>
      <c r="E23" s="16" t="s">
        <v>64</v>
      </c>
      <c r="F23" s="16" t="n">
        <v>6</v>
      </c>
      <c r="G23" s="17" t="n">
        <f aca="false">H22</f>
        <v>266.64</v>
      </c>
      <c r="H23" s="18" t="n">
        <f aca="true">G23+(OFFSET($B$4,$F23,0)+1)*3.333</f>
        <v>269.973</v>
      </c>
      <c r="I23" s="16" t="s">
        <v>65</v>
      </c>
    </row>
    <row r="24" customFormat="false" ht="15.75" hidden="false" customHeight="true" outlineLevel="0" collapsed="false">
      <c r="A24" s="19" t="s">
        <v>66</v>
      </c>
      <c r="B24" s="14" t="n">
        <v>150</v>
      </c>
      <c r="C24" s="15"/>
      <c r="D24" s="14"/>
      <c r="E24" s="20" t="s">
        <v>67</v>
      </c>
      <c r="F24" s="16" t="n">
        <v>0</v>
      </c>
      <c r="G24" s="21" t="n">
        <f aca="false">H23</f>
        <v>269.973</v>
      </c>
      <c r="H24" s="18" t="n">
        <f aca="true">G24+(OFFSET($B$4,$F24,0)+1)*3.333</f>
        <v>273.306</v>
      </c>
      <c r="I24" s="26" t="s">
        <v>68</v>
      </c>
    </row>
    <row r="25" customFormat="false" ht="15.75" hidden="false" customHeight="true" outlineLevel="0" collapsed="false">
      <c r="A25" s="19" t="s">
        <v>69</v>
      </c>
      <c r="B25" s="14" t="n">
        <v>75</v>
      </c>
      <c r="C25" s="15"/>
      <c r="D25" s="14"/>
      <c r="E25" s="16" t="s">
        <v>70</v>
      </c>
      <c r="F25" s="16" t="n">
        <v>0</v>
      </c>
      <c r="G25" s="27" t="n">
        <v>0</v>
      </c>
      <c r="H25" s="28" t="n">
        <f aca="false">G25+3.333</f>
        <v>3.333</v>
      </c>
      <c r="I25" s="16"/>
    </row>
    <row r="26" customFormat="false" ht="15.75" hidden="false" customHeight="true" outlineLevel="0" collapsed="false">
      <c r="A26" s="19" t="s">
        <v>71</v>
      </c>
      <c r="B26" s="14" t="n">
        <v>260</v>
      </c>
      <c r="C26" s="15"/>
      <c r="D26" s="14" t="s">
        <v>72</v>
      </c>
      <c r="E26" s="16" t="s">
        <v>73</v>
      </c>
      <c r="F26" s="16" t="n">
        <v>0</v>
      </c>
      <c r="G26" s="17" t="n">
        <v>0</v>
      </c>
      <c r="H26" s="18" t="n">
        <f aca="true">G26+(OFFSET($B$4,$F26,0)+1)*3.333</f>
        <v>3.333</v>
      </c>
      <c r="I26" s="16" t="s">
        <v>74</v>
      </c>
    </row>
    <row r="27" customFormat="false" ht="15.75" hidden="false" customHeight="true" outlineLevel="0" collapsed="false">
      <c r="A27" s="19" t="s">
        <v>75</v>
      </c>
      <c r="B27" s="14" t="n">
        <v>300</v>
      </c>
      <c r="C27" s="15"/>
      <c r="D27" s="14" t="s">
        <v>76</v>
      </c>
      <c r="E27" s="16" t="s">
        <v>77</v>
      </c>
      <c r="F27" s="16" t="n">
        <v>0</v>
      </c>
      <c r="G27" s="17" t="n">
        <f aca="false">H26</f>
        <v>3.333</v>
      </c>
      <c r="H27" s="18" t="n">
        <f aca="true">G27+(OFFSET($B$4,$F27,0)+1)*3.333</f>
        <v>6.666</v>
      </c>
      <c r="I27" s="16"/>
    </row>
    <row r="28" customFormat="false" ht="15.75" hidden="false" customHeight="true" outlineLevel="0" collapsed="false">
      <c r="A28" s="19" t="s">
        <v>78</v>
      </c>
      <c r="B28" s="14" t="n">
        <v>120</v>
      </c>
      <c r="C28" s="15"/>
      <c r="D28" s="14"/>
      <c r="E28" s="16" t="s">
        <v>79</v>
      </c>
      <c r="F28" s="16" t="n">
        <v>0</v>
      </c>
      <c r="G28" s="17" t="n">
        <f aca="false">H27</f>
        <v>6.666</v>
      </c>
      <c r="H28" s="18" t="n">
        <f aca="true">G28+(OFFSET($B$4,$F28,0)+1)*3.333</f>
        <v>9.999</v>
      </c>
      <c r="I28" s="16"/>
    </row>
    <row r="29" customFormat="false" ht="15.75" hidden="false" customHeight="true" outlineLevel="0" collapsed="false">
      <c r="A29" s="19"/>
      <c r="B29" s="14"/>
      <c r="C29" s="15"/>
      <c r="D29" s="14"/>
      <c r="E29" s="16" t="s">
        <v>80</v>
      </c>
      <c r="F29" s="16" t="n">
        <v>0</v>
      </c>
      <c r="G29" s="17" t="n">
        <f aca="false">H28</f>
        <v>9.999</v>
      </c>
      <c r="H29" s="18" t="n">
        <f aca="true">G29+(OFFSET($B$4,$F29,0)+1)*3.333</f>
        <v>13.332</v>
      </c>
      <c r="I29" s="16"/>
    </row>
    <row r="30" customFormat="false" ht="15.75" hidden="false" customHeight="true" outlineLevel="0" collapsed="false">
      <c r="A30" s="19"/>
      <c r="B30" s="14"/>
      <c r="C30" s="15"/>
      <c r="D30" s="14"/>
      <c r="E30" s="16" t="s">
        <v>81</v>
      </c>
      <c r="F30" s="16" t="n">
        <v>0</v>
      </c>
      <c r="G30" s="17" t="n">
        <f aca="false">H29</f>
        <v>13.332</v>
      </c>
      <c r="H30" s="18" t="n">
        <f aca="true">G30+(OFFSET($B$4,$F30,0)+1)*3.333</f>
        <v>16.665</v>
      </c>
      <c r="I30" s="16"/>
    </row>
    <row r="31" customFormat="false" ht="15.75" hidden="false" customHeight="true" outlineLevel="0" collapsed="false">
      <c r="A31" s="19"/>
      <c r="B31" s="14"/>
      <c r="C31" s="15"/>
      <c r="D31" s="14"/>
      <c r="E31" s="16" t="s">
        <v>82</v>
      </c>
      <c r="F31" s="16" t="n">
        <v>7</v>
      </c>
      <c r="G31" s="29"/>
      <c r="H31" s="16"/>
      <c r="I31" s="16" t="s">
        <v>83</v>
      </c>
    </row>
    <row r="32" customFormat="false" ht="15.75" hidden="false" customHeight="true" outlineLevel="0" collapsed="false">
      <c r="A32" s="19"/>
      <c r="B32" s="14"/>
      <c r="C32" s="15"/>
      <c r="D32" s="14"/>
      <c r="E32" s="16" t="s">
        <v>84</v>
      </c>
      <c r="F32" s="16" t="n">
        <v>0</v>
      </c>
      <c r="G32" s="29"/>
      <c r="H32" s="16"/>
      <c r="I32" s="16"/>
    </row>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A2:B2"/>
    <mergeCell ref="G2:I2"/>
    <mergeCell ref="A13:B13"/>
  </mergeCells>
  <conditionalFormatting sqref="G24">
    <cfRule type="expression" priority="2" aboveAverage="0" equalAverage="0" bottom="0" percent="0" rank="0" text="" dxfId="0">
      <formula>ROUND($G$24 - $H$7, 1) &lt; VLOOKUP("tRAS",$A$14:$B$32, 2, 0)</formula>
    </cfRule>
  </conditionalFormatting>
  <conditionalFormatting sqref="G24">
    <cfRule type="expression" priority="3" aboveAverage="0" equalAverage="0" bottom="0" percent="0" rank="0" text="" dxfId="1">
      <formula>ROUND($G$24 - $H$26, 1) &lt; VLOOKUP("tRC",$A$14:$B$32, 2, 0)</formula>
    </cfRule>
  </conditionalFormatting>
  <conditionalFormatting sqref="G13">
    <cfRule type="expression" priority="4" aboveAverage="0" equalAverage="0" bottom="0" percent="0" rank="0" text="" dxfId="0">
      <formula>ROUND($G$13-$H$7, 1) &lt; VLOOKUP("tRCD(min)",$A$14:$B$32,2,0)</formula>
    </cfRule>
  </conditionalFormatting>
  <conditionalFormatting sqref="G13">
    <cfRule type="expression" priority="5" aboveAverage="0" equalAverage="0" bottom="0" percent="0" rank="0" text="" dxfId="1">
      <formula>ROUND($G$13-$H$26,1) &lt; VLOOKUP("tCPN",$A$14:$B$32,2,0)</formula>
    </cfRule>
  </conditionalFormatting>
  <conditionalFormatting sqref="G13">
    <cfRule type="expression" priority="6" aboveAverage="0" equalAverage="0" bottom="0" percent="0" rank="0" text="" dxfId="2">
      <formula>ROUND($G$13-$H$7, 1) &gt;= VLOOKUP("tRCD(max)",$A$14:$B$32,2,0)</formula>
    </cfRule>
  </conditionalFormatting>
  <conditionalFormatting sqref="G18">
    <cfRule type="expression" priority="7" aboveAverage="0" equalAverage="0" bottom="0" percent="0" rank="0" text="" dxfId="0">
      <formula>ROUND($G$18 - $H$11, 1) &lt; VLOOKUP("tCAH",$A$14:$B$26,2,0)</formula>
    </cfRule>
  </conditionalFormatting>
  <conditionalFormatting sqref="G7">
    <cfRule type="expression" priority="8" aboveAverage="0" equalAverage="0" bottom="0" percent="0" rank="0" text="" dxfId="0">
      <formula>ROUND($G$7-$H$26,1) &lt; VLOOKUP("tRP",$A$14:$B$32,2,0)</formula>
    </cfRule>
  </conditionalFormatting>
  <conditionalFormatting sqref="G9">
    <cfRule type="expression" priority="9" aboveAverage="0" equalAverage="0" bottom="0" percent="0" rank="0" text="" dxfId="0">
      <formula>ROUND($G$9 - $H$7, 1) &lt; VLOOKUP("tRAH",$A$14:$B$32,2,0)</formula>
    </cfRule>
  </conditionalFormatting>
  <conditionalFormatting sqref="G17">
    <cfRule type="expression" priority="10" aboveAverage="0" equalAverage="0" bottom="0" percent="0" rank="0" text="" dxfId="0">
      <formula>ROUND($G$17 - $H$11, 1) &lt; VLOOKUP("tWP",$A$14:$B$32,2,0)</formula>
    </cfRule>
  </conditionalFormatting>
  <conditionalFormatting sqref="G11">
    <cfRule type="expression" priority="11" aboveAverage="0" equalAverage="0" bottom="0" percent="0" rank="0" text="" dxfId="1">
      <formula>ROUND($G$11-$H$26,1) &lt; VLOOKUP("tCPN",$A$14:$B$32,2,0)</formula>
    </cfRule>
  </conditionalFormatting>
  <conditionalFormatting sqref="G18">
    <cfRule type="expression" priority="12" aboveAverage="0" equalAverage="0" bottom="0" percent="0" rank="0" text="" dxfId="0">
      <formula>ROUND($G$18 - $H$13, 1) &lt; VLOOKUP("tCAH",$A$14:$B$26,2,0)</formula>
    </cfRule>
  </conditionalFormatting>
  <conditionalFormatting sqref="G20">
    <cfRule type="expression" priority="13" aboveAverage="0" equalAverage="0" bottom="0" percent="0" rank="0" text="" dxfId="0">
      <formula>ROUND($G$20 - $H$7, 1) &lt; VLOOKUP("tRAC",$A$14:$B$26,2,0)</formula>
    </cfRule>
  </conditionalFormatting>
  <conditionalFormatting sqref="G17">
    <cfRule type="expression" priority="14" aboveAverage="0" equalAverage="0" bottom="0" percent="0" rank="0" text="" dxfId="1">
      <formula>ROUND($G$17 - $H$11, 1) &lt; VLOOKUP("tWCH",$A$14:$B$32,2,0)</formula>
    </cfRule>
  </conditionalFormatting>
  <conditionalFormatting sqref="G21">
    <cfRule type="expression" priority="15" aboveAverage="0" equalAverage="0" bottom="0" percent="0" rank="0" text="" dxfId="0">
      <formula>ROUND($G$21 - $H$13, 1) &lt; VLOOKUP("tCAS", $A$14:$B$32, 2, 0)</formula>
    </cfRule>
  </conditionalFormatting>
  <conditionalFormatting sqref="G17">
    <cfRule type="expression" priority="16" aboveAverage="0" equalAverage="0" bottom="0" percent="0" rank="0" text="" dxfId="3">
      <formula>ROUND($G$17 - $H$7, 1) &lt; VLOOKUP("tWCR",$A$14:$B$32,2,0)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9.63"/>
    <col collapsed="false" customWidth="true" hidden="false" outlineLevel="0" max="2" min="2" style="0" width="8.63"/>
    <col collapsed="false" customWidth="true" hidden="false" outlineLevel="0" max="3" min="3" style="0" width="5.25"/>
    <col collapsed="false" customWidth="true" hidden="false" outlineLevel="0" max="4" min="4" style="0" width="14.88"/>
    <col collapsed="false" customWidth="true" hidden="false" outlineLevel="0" max="5" min="5" style="0" width="19.88"/>
    <col collapsed="false" customWidth="true" hidden="false" outlineLevel="0" max="6" min="6" style="0" width="6.38"/>
    <col collapsed="false" customWidth="true" hidden="false" outlineLevel="0" max="7" min="7" style="0" width="11.38"/>
    <col collapsed="false" customWidth="true" hidden="false" outlineLevel="0" max="8" min="8" style="0" width="10.38"/>
    <col collapsed="false" customWidth="true" hidden="false" outlineLevel="0" max="9" min="9" style="0" width="141.63"/>
  </cols>
  <sheetData>
    <row r="1" customFormat="false" ht="15.75" hidden="false" customHeight="true" outlineLevel="0" collapsed="false">
      <c r="H1" s="6"/>
      <c r="I1" s="6"/>
    </row>
    <row r="2" customFormat="false" ht="15.75" hidden="false" customHeight="true" outlineLevel="0" collapsed="false">
      <c r="A2" s="7" t="s">
        <v>6</v>
      </c>
      <c r="B2" s="7"/>
      <c r="F2" s="8"/>
      <c r="G2" s="7" t="s">
        <v>7</v>
      </c>
      <c r="H2" s="7"/>
      <c r="I2" s="7"/>
    </row>
    <row r="3" customFormat="false" ht="15.75" hidden="false" customHeight="true" outlineLevel="0" collapsed="false">
      <c r="A3" s="9" t="s">
        <v>8</v>
      </c>
      <c r="B3" s="10" t="s">
        <v>9</v>
      </c>
      <c r="C3" s="11"/>
      <c r="D3" s="10" t="s">
        <v>10</v>
      </c>
      <c r="E3" s="12" t="s">
        <v>11</v>
      </c>
      <c r="F3" s="12" t="s">
        <v>12</v>
      </c>
      <c r="G3" s="13" t="s">
        <v>13</v>
      </c>
      <c r="H3" s="12" t="s">
        <v>14</v>
      </c>
      <c r="I3" s="9" t="s">
        <v>1</v>
      </c>
    </row>
    <row r="4" customFormat="false" ht="15.75" hidden="false" customHeight="true" outlineLevel="0" collapsed="false">
      <c r="A4" s="9" t="n">
        <v>0</v>
      </c>
      <c r="B4" s="14" t="n">
        <v>0</v>
      </c>
      <c r="C4" s="15"/>
      <c r="D4" s="14" t="s">
        <v>15</v>
      </c>
      <c r="E4" s="16" t="s">
        <v>16</v>
      </c>
      <c r="F4" s="16" t="n">
        <v>1</v>
      </c>
      <c r="G4" s="17" t="n">
        <f aca="false">H30</f>
        <v>16.665</v>
      </c>
      <c r="H4" s="18" t="n">
        <f aca="true">G4+(OFFSET($B$4,$F4,0)+1)*3.333</f>
        <v>19.998</v>
      </c>
      <c r="I4" s="16" t="s">
        <v>17</v>
      </c>
    </row>
    <row r="5" customFormat="false" ht="15.75" hidden="false" customHeight="true" outlineLevel="0" collapsed="false">
      <c r="A5" s="19" t="n">
        <v>1</v>
      </c>
      <c r="B5" s="14" t="n">
        <v>0</v>
      </c>
      <c r="C5" s="15"/>
      <c r="D5" s="14"/>
      <c r="E5" s="16" t="s">
        <v>18</v>
      </c>
      <c r="F5" s="16" t="n">
        <v>2</v>
      </c>
      <c r="G5" s="17" t="n">
        <f aca="false">H4</f>
        <v>19.998</v>
      </c>
      <c r="H5" s="18" t="n">
        <f aca="true">G5+(OFFSET($B$4,$F5,0)+1)*3.333</f>
        <v>109.989</v>
      </c>
      <c r="I5" s="16" t="s">
        <v>19</v>
      </c>
    </row>
    <row r="6" customFormat="false" ht="15.75" hidden="false" customHeight="true" outlineLevel="0" collapsed="false">
      <c r="A6" s="19" t="n">
        <v>2</v>
      </c>
      <c r="B6" s="14" t="n">
        <v>26</v>
      </c>
      <c r="C6" s="15"/>
      <c r="D6" s="14"/>
      <c r="E6" s="16" t="s">
        <v>20</v>
      </c>
      <c r="F6" s="16" t="n">
        <v>0</v>
      </c>
      <c r="G6" s="17" t="n">
        <f aca="false">H5</f>
        <v>109.989</v>
      </c>
      <c r="H6" s="18" t="n">
        <f aca="true">G6+(OFFSET($B$4,$F6,0)+1)*3.333</f>
        <v>113.322</v>
      </c>
      <c r="I6" s="16" t="s">
        <v>21</v>
      </c>
    </row>
    <row r="7" customFormat="false" ht="15.75" hidden="false" customHeight="true" outlineLevel="0" collapsed="false">
      <c r="A7" s="19" t="n">
        <v>3</v>
      </c>
      <c r="B7" s="14" t="n">
        <v>5</v>
      </c>
      <c r="C7" s="15"/>
      <c r="D7" s="14"/>
      <c r="E7" s="20" t="s">
        <v>22</v>
      </c>
      <c r="F7" s="16" t="n">
        <v>0</v>
      </c>
      <c r="G7" s="21" t="n">
        <f aca="false">H6</f>
        <v>113.322</v>
      </c>
      <c r="H7" s="22" t="n">
        <f aca="true">G7+(OFFSET($B$4,$F7,0)+1)*3.333</f>
        <v>116.655</v>
      </c>
      <c r="I7" s="16" t="s">
        <v>23</v>
      </c>
    </row>
    <row r="8" customFormat="false" ht="15.75" hidden="false" customHeight="true" outlineLevel="0" collapsed="false">
      <c r="A8" s="19" t="n">
        <v>4</v>
      </c>
      <c r="B8" s="14" t="n">
        <v>9</v>
      </c>
      <c r="C8" s="15"/>
      <c r="D8" s="14"/>
      <c r="E8" s="16" t="s">
        <v>24</v>
      </c>
      <c r="F8" s="16" t="n">
        <v>3</v>
      </c>
      <c r="G8" s="17" t="n">
        <f aca="false">H7</f>
        <v>116.655</v>
      </c>
      <c r="H8" s="18" t="n">
        <f aca="true">G8+(OFFSET($B$4,$F8,0)+1)*3.333</f>
        <v>136.653</v>
      </c>
      <c r="I8" s="16" t="s">
        <v>25</v>
      </c>
    </row>
    <row r="9" customFormat="false" ht="15.75" hidden="false" customHeight="true" outlineLevel="0" collapsed="false">
      <c r="A9" s="19" t="n">
        <v>5</v>
      </c>
      <c r="B9" s="14" t="n">
        <v>6</v>
      </c>
      <c r="C9" s="15"/>
      <c r="D9" s="14" t="s">
        <v>26</v>
      </c>
      <c r="E9" s="20" t="s">
        <v>27</v>
      </c>
      <c r="F9" s="16" t="n">
        <v>0</v>
      </c>
      <c r="G9" s="21" t="n">
        <f aca="false">H8</f>
        <v>136.653</v>
      </c>
      <c r="H9" s="18" t="n">
        <f aca="true">G9+(OFFSET($B$4,$F9,0)+1)*3.333</f>
        <v>139.986</v>
      </c>
      <c r="I9" s="16" t="s">
        <v>28</v>
      </c>
    </row>
    <row r="10" customFormat="false" ht="15.75" hidden="false" customHeight="true" outlineLevel="0" collapsed="false">
      <c r="A10" s="19" t="n">
        <v>6</v>
      </c>
      <c r="B10" s="14" t="n">
        <v>3</v>
      </c>
      <c r="C10" s="15"/>
      <c r="D10" s="14"/>
      <c r="E10" s="16" t="s">
        <v>29</v>
      </c>
      <c r="F10" s="16" t="n">
        <v>0</v>
      </c>
      <c r="G10" s="17" t="n">
        <f aca="false">H9</f>
        <v>139.986</v>
      </c>
      <c r="H10" s="18" t="n">
        <f aca="true">G10+(OFFSET($B$4,$F10,0)+1)*3.333</f>
        <v>143.319</v>
      </c>
      <c r="I10" s="16" t="s">
        <v>30</v>
      </c>
    </row>
    <row r="11" customFormat="false" ht="15.75" hidden="false" customHeight="true" outlineLevel="0" collapsed="false">
      <c r="A11" s="19" t="n">
        <v>7</v>
      </c>
      <c r="B11" s="14" t="n">
        <v>0</v>
      </c>
      <c r="C11" s="15"/>
      <c r="D11" s="14"/>
      <c r="E11" s="16" t="s">
        <v>31</v>
      </c>
      <c r="F11" s="16" t="n">
        <v>0</v>
      </c>
      <c r="G11" s="21" t="n">
        <f aca="false">H10</f>
        <v>143.319</v>
      </c>
      <c r="H11" s="22" t="n">
        <f aca="true">G11+(OFFSET($B$4,$F11,0)+1)*3.333</f>
        <v>146.652</v>
      </c>
      <c r="I11" s="16" t="s">
        <v>32</v>
      </c>
    </row>
    <row r="12" customFormat="false" ht="15.75" hidden="false" customHeight="true" outlineLevel="0" collapsed="false">
      <c r="A12" s="15"/>
      <c r="B12" s="15"/>
      <c r="C12" s="15" t="s">
        <v>5</v>
      </c>
      <c r="D12" s="14"/>
      <c r="E12" s="16" t="s">
        <v>33</v>
      </c>
      <c r="F12" s="16" t="n">
        <v>0</v>
      </c>
      <c r="G12" s="17" t="n">
        <f aca="false">H11</f>
        <v>146.652</v>
      </c>
      <c r="H12" s="18" t="n">
        <f aca="true">G12+(OFFSET($B$4,$F12,0)+1)*3.333</f>
        <v>149.985</v>
      </c>
      <c r="I12" s="16" t="s">
        <v>34</v>
      </c>
    </row>
    <row r="13" customFormat="false" ht="15.75" hidden="false" customHeight="true" outlineLevel="0" collapsed="false">
      <c r="A13" s="23" t="s">
        <v>35</v>
      </c>
      <c r="B13" s="23"/>
      <c r="C13" s="15"/>
      <c r="D13" s="14" t="s">
        <v>36</v>
      </c>
      <c r="E13" s="20" t="s">
        <v>37</v>
      </c>
      <c r="F13" s="16" t="n">
        <v>0</v>
      </c>
      <c r="G13" s="24" t="n">
        <f aca="false">H10</f>
        <v>143.319</v>
      </c>
      <c r="H13" s="22" t="n">
        <f aca="true">G13+(OFFSET($B$4,$F13,0)+1)*3.333</f>
        <v>146.652</v>
      </c>
      <c r="I13" s="16" t="s">
        <v>38</v>
      </c>
    </row>
    <row r="14" customFormat="false" ht="15.75" hidden="false" customHeight="true" outlineLevel="0" collapsed="false">
      <c r="A14" s="19" t="s">
        <v>39</v>
      </c>
      <c r="B14" s="14" t="n">
        <v>110</v>
      </c>
      <c r="C14" s="15"/>
      <c r="D14" s="14"/>
      <c r="E14" s="16" t="s">
        <v>40</v>
      </c>
      <c r="F14" s="16" t="n">
        <v>0</v>
      </c>
      <c r="G14" s="25" t="n">
        <f aca="false">H13</f>
        <v>146.652</v>
      </c>
      <c r="H14" s="18" t="n">
        <f aca="true">G14+(OFFSET($B$4,$F14,0)+1)*3.333</f>
        <v>149.985</v>
      </c>
      <c r="I14" s="16" t="s">
        <v>41</v>
      </c>
    </row>
    <row r="15" customFormat="false" ht="15.75" hidden="false" customHeight="true" outlineLevel="0" collapsed="false">
      <c r="A15" s="19" t="s">
        <v>42</v>
      </c>
      <c r="B15" s="14" t="n">
        <v>50</v>
      </c>
      <c r="C15" s="15"/>
      <c r="D15" s="14" t="s">
        <v>43</v>
      </c>
      <c r="E15" s="16" t="s">
        <v>44</v>
      </c>
      <c r="F15" s="16" t="n">
        <v>0</v>
      </c>
      <c r="G15" s="17" t="n">
        <f aca="false">H12</f>
        <v>149.985</v>
      </c>
      <c r="H15" s="18" t="n">
        <f aca="true">G15+(OFFSET($B$4,$F15,0)+1)*3.333</f>
        <v>153.318</v>
      </c>
      <c r="I15" s="16" t="s">
        <v>45</v>
      </c>
    </row>
    <row r="16" customFormat="false" ht="15.75" hidden="false" customHeight="true" outlineLevel="0" collapsed="false">
      <c r="A16" s="19" t="s">
        <v>46</v>
      </c>
      <c r="B16" s="14" t="n">
        <v>100</v>
      </c>
      <c r="C16" s="15"/>
      <c r="D16" s="14"/>
      <c r="E16" s="16" t="s">
        <v>47</v>
      </c>
      <c r="F16" s="16" t="n">
        <v>4</v>
      </c>
      <c r="G16" s="17" t="n">
        <f aca="false">H15</f>
        <v>153.318</v>
      </c>
      <c r="H16" s="18" t="n">
        <f aca="true">G16+(OFFSET($B$4,$F16,0)+1)*3.333</f>
        <v>186.648</v>
      </c>
      <c r="I16" s="16" t="s">
        <v>48</v>
      </c>
    </row>
    <row r="17" customFormat="false" ht="15.75" hidden="false" customHeight="true" outlineLevel="0" collapsed="false">
      <c r="A17" s="19" t="s">
        <v>49</v>
      </c>
      <c r="B17" s="14" t="n">
        <v>15</v>
      </c>
      <c r="C17" s="15"/>
      <c r="D17" s="14"/>
      <c r="E17" s="20" t="s">
        <v>37</v>
      </c>
      <c r="F17" s="16" t="n">
        <v>0</v>
      </c>
      <c r="G17" s="21" t="n">
        <f aca="false">H16</f>
        <v>186.648</v>
      </c>
      <c r="H17" s="22" t="n">
        <f aca="true">G17+(OFFSET($B$4,$F17,0)+1)*3.333</f>
        <v>189.981</v>
      </c>
      <c r="I17" s="16" t="s">
        <v>50</v>
      </c>
    </row>
    <row r="18" customFormat="false" ht="15.75" hidden="false" customHeight="true" outlineLevel="0" collapsed="false">
      <c r="A18" s="19" t="s">
        <v>51</v>
      </c>
      <c r="B18" s="14" t="n">
        <v>15</v>
      </c>
      <c r="C18" s="15"/>
      <c r="D18" s="14"/>
      <c r="E18" s="16" t="s">
        <v>27</v>
      </c>
      <c r="F18" s="16" t="n">
        <v>0</v>
      </c>
      <c r="G18" s="21" t="n">
        <f aca="false">H17</f>
        <v>189.981</v>
      </c>
      <c r="H18" s="18" t="n">
        <f aca="true">G18+(OFFSET($B$4,$F18,0)+1)*3.333</f>
        <v>193.314</v>
      </c>
      <c r="I18" s="16" t="s">
        <v>52</v>
      </c>
    </row>
    <row r="19" customFormat="false" ht="15.75" hidden="false" customHeight="true" outlineLevel="0" collapsed="false">
      <c r="A19" s="19" t="s">
        <v>53</v>
      </c>
      <c r="B19" s="14" t="n">
        <v>100</v>
      </c>
      <c r="C19" s="15"/>
      <c r="D19" s="14"/>
      <c r="E19" s="16" t="s">
        <v>54</v>
      </c>
      <c r="F19" s="16" t="n">
        <v>5</v>
      </c>
      <c r="G19" s="17" t="n">
        <f aca="false">H18</f>
        <v>193.314</v>
      </c>
      <c r="H19" s="18" t="n">
        <f aca="true">G19+(OFFSET($B$4,$F19,0)+1)*3.333</f>
        <v>216.645</v>
      </c>
      <c r="I19" s="16" t="s">
        <v>55</v>
      </c>
    </row>
    <row r="20" customFormat="false" ht="15.75" hidden="false" customHeight="true" outlineLevel="0" collapsed="false">
      <c r="A20" s="19" t="s">
        <v>56</v>
      </c>
      <c r="B20" s="14" t="n">
        <v>25</v>
      </c>
      <c r="C20" s="15"/>
      <c r="D20" s="14"/>
      <c r="E20" s="16" t="s">
        <v>57</v>
      </c>
      <c r="F20" s="16" t="n">
        <v>0</v>
      </c>
      <c r="G20" s="21" t="n">
        <f aca="false">H19</f>
        <v>216.645</v>
      </c>
      <c r="H20" s="18" t="n">
        <f aca="true">G20+(OFFSET($B$4,$F20,0)+1)*3.333</f>
        <v>219.978</v>
      </c>
      <c r="I20" s="16" t="s">
        <v>58</v>
      </c>
    </row>
    <row r="21" customFormat="false" ht="15.75" hidden="false" customHeight="true" outlineLevel="0" collapsed="false">
      <c r="A21" s="19" t="s">
        <v>59</v>
      </c>
      <c r="B21" s="16" t="n">
        <v>25</v>
      </c>
      <c r="C21" s="15"/>
      <c r="D21" s="14"/>
      <c r="E21" s="16" t="s">
        <v>22</v>
      </c>
      <c r="F21" s="16" t="n">
        <v>0</v>
      </c>
      <c r="G21" s="21" t="n">
        <f aca="false">H20</f>
        <v>219.978</v>
      </c>
      <c r="H21" s="18" t="n">
        <f aca="true">G21+(OFFSET($B$4,$F21,0)+1)*3.333</f>
        <v>223.311</v>
      </c>
      <c r="I21" s="16" t="s">
        <v>60</v>
      </c>
    </row>
    <row r="22" customFormat="false" ht="15.75" hidden="false" customHeight="true" outlineLevel="0" collapsed="false">
      <c r="A22" s="19" t="s">
        <v>61</v>
      </c>
      <c r="B22" s="14" t="n">
        <v>25</v>
      </c>
      <c r="C22" s="15"/>
      <c r="D22" s="14"/>
      <c r="E22" s="16" t="s">
        <v>62</v>
      </c>
      <c r="F22" s="16" t="n">
        <v>0</v>
      </c>
      <c r="G22" s="17" t="n">
        <f aca="false">H21</f>
        <v>223.311</v>
      </c>
      <c r="H22" s="18" t="n">
        <f aca="true">G22+(OFFSET($B$4,$F22,0)+1)*3.333</f>
        <v>226.644</v>
      </c>
      <c r="I22" s="16"/>
    </row>
    <row r="23" customFormat="false" ht="15.75" hidden="false" customHeight="true" outlineLevel="0" collapsed="false">
      <c r="A23" s="19" t="s">
        <v>63</v>
      </c>
      <c r="B23" s="14" t="n">
        <v>45</v>
      </c>
      <c r="C23" s="15"/>
      <c r="D23" s="14"/>
      <c r="E23" s="16" t="s">
        <v>64</v>
      </c>
      <c r="F23" s="16" t="n">
        <v>6</v>
      </c>
      <c r="G23" s="17" t="n">
        <f aca="false">H22</f>
        <v>226.644</v>
      </c>
      <c r="H23" s="18" t="n">
        <f aca="true">G23+(OFFSET($B$4,$F23,0)+1)*3.333</f>
        <v>239.976</v>
      </c>
      <c r="I23" s="16" t="s">
        <v>65</v>
      </c>
    </row>
    <row r="24" customFormat="false" ht="15.75" hidden="false" customHeight="true" outlineLevel="0" collapsed="false">
      <c r="A24" s="19" t="s">
        <v>66</v>
      </c>
      <c r="B24" s="14" t="n">
        <v>115</v>
      </c>
      <c r="C24" s="15"/>
      <c r="D24" s="14"/>
      <c r="E24" s="20" t="s">
        <v>67</v>
      </c>
      <c r="F24" s="16" t="n">
        <v>0</v>
      </c>
      <c r="G24" s="21" t="n">
        <f aca="false">H23</f>
        <v>239.976</v>
      </c>
      <c r="H24" s="18" t="n">
        <f aca="true">G24+(OFFSET($B$4,$F24,0)+1)*3.333</f>
        <v>243.309</v>
      </c>
      <c r="I24" s="26" t="s">
        <v>68</v>
      </c>
    </row>
    <row r="25" customFormat="false" ht="15.75" hidden="false" customHeight="true" outlineLevel="0" collapsed="false">
      <c r="A25" s="19" t="s">
        <v>69</v>
      </c>
      <c r="B25" s="14" t="n">
        <v>55</v>
      </c>
      <c r="C25" s="15"/>
      <c r="D25" s="14"/>
      <c r="E25" s="16" t="s">
        <v>70</v>
      </c>
      <c r="F25" s="16" t="n">
        <v>0</v>
      </c>
      <c r="G25" s="27" t="n">
        <v>0</v>
      </c>
      <c r="H25" s="28" t="n">
        <f aca="false">G25+3.333</f>
        <v>3.333</v>
      </c>
      <c r="I25" s="16"/>
    </row>
    <row r="26" customFormat="false" ht="15.75" hidden="false" customHeight="true" outlineLevel="0" collapsed="false">
      <c r="A26" s="19" t="s">
        <v>71</v>
      </c>
      <c r="B26" s="14" t="n">
        <v>235</v>
      </c>
      <c r="C26" s="15"/>
      <c r="D26" s="14" t="s">
        <v>72</v>
      </c>
      <c r="E26" s="16" t="s">
        <v>73</v>
      </c>
      <c r="F26" s="16" t="n">
        <v>0</v>
      </c>
      <c r="G26" s="17" t="n">
        <v>0</v>
      </c>
      <c r="H26" s="18" t="n">
        <f aca="true">G26+(OFFSET($B$4,$F26,0)+1)*3.333</f>
        <v>3.333</v>
      </c>
      <c r="I26" s="16" t="s">
        <v>74</v>
      </c>
    </row>
    <row r="27" customFormat="false" ht="15.75" hidden="false" customHeight="true" outlineLevel="0" collapsed="false">
      <c r="A27" s="19" t="s">
        <v>75</v>
      </c>
      <c r="B27" s="14" t="n">
        <v>285</v>
      </c>
      <c r="C27" s="15"/>
      <c r="D27" s="14" t="s">
        <v>76</v>
      </c>
      <c r="E27" s="16" t="s">
        <v>77</v>
      </c>
      <c r="F27" s="16" t="n">
        <v>0</v>
      </c>
      <c r="G27" s="17" t="n">
        <f aca="false">H26</f>
        <v>3.333</v>
      </c>
      <c r="H27" s="18" t="n">
        <f aca="true">G27+(OFFSET($B$4,$F27,0)+1)*3.333</f>
        <v>6.666</v>
      </c>
      <c r="I27" s="16"/>
    </row>
    <row r="28" customFormat="false" ht="15.75" hidden="false" customHeight="true" outlineLevel="0" collapsed="false">
      <c r="A28" s="19" t="s">
        <v>78</v>
      </c>
      <c r="B28" s="14" t="n">
        <v>70</v>
      </c>
      <c r="C28" s="15"/>
      <c r="D28" s="14"/>
      <c r="E28" s="16" t="s">
        <v>79</v>
      </c>
      <c r="F28" s="16" t="n">
        <v>0</v>
      </c>
      <c r="G28" s="17" t="n">
        <f aca="false">H27</f>
        <v>6.666</v>
      </c>
      <c r="H28" s="18" t="n">
        <f aca="true">G28+(OFFSET($B$4,$F28,0)+1)*3.333</f>
        <v>9.999</v>
      </c>
      <c r="I28" s="16"/>
    </row>
    <row r="29" customFormat="false" ht="15.75" hidden="false" customHeight="true" outlineLevel="0" collapsed="false">
      <c r="A29" s="19"/>
      <c r="B29" s="14"/>
      <c r="C29" s="15"/>
      <c r="D29" s="14"/>
      <c r="E29" s="16" t="s">
        <v>80</v>
      </c>
      <c r="F29" s="16" t="n">
        <v>0</v>
      </c>
      <c r="G29" s="17" t="n">
        <f aca="false">H28</f>
        <v>9.999</v>
      </c>
      <c r="H29" s="18" t="n">
        <f aca="true">G29+(OFFSET($B$4,$F29,0)+1)*3.333</f>
        <v>13.332</v>
      </c>
      <c r="I29" s="16"/>
    </row>
    <row r="30" customFormat="false" ht="15.75" hidden="false" customHeight="true" outlineLevel="0" collapsed="false">
      <c r="A30" s="19"/>
      <c r="B30" s="14"/>
      <c r="C30" s="15"/>
      <c r="D30" s="14"/>
      <c r="E30" s="16" t="s">
        <v>81</v>
      </c>
      <c r="F30" s="16" t="n">
        <v>0</v>
      </c>
      <c r="G30" s="17" t="n">
        <f aca="false">H29</f>
        <v>13.332</v>
      </c>
      <c r="H30" s="18" t="n">
        <f aca="true">G30+(OFFSET($B$4,$F30,0)+1)*3.333</f>
        <v>16.665</v>
      </c>
      <c r="I30" s="16"/>
    </row>
    <row r="31" customFormat="false" ht="15.75" hidden="false" customHeight="true" outlineLevel="0" collapsed="false">
      <c r="A31" s="19"/>
      <c r="B31" s="14"/>
      <c r="C31" s="15"/>
      <c r="D31" s="14"/>
      <c r="E31" s="16" t="s">
        <v>82</v>
      </c>
      <c r="F31" s="16" t="n">
        <v>7</v>
      </c>
      <c r="G31" s="29"/>
      <c r="H31" s="16"/>
      <c r="I31" s="16" t="s">
        <v>83</v>
      </c>
    </row>
    <row r="32" customFormat="false" ht="15.75" hidden="false" customHeight="true" outlineLevel="0" collapsed="false">
      <c r="A32" s="19"/>
      <c r="B32" s="14"/>
      <c r="C32" s="15"/>
      <c r="D32" s="14"/>
      <c r="E32" s="16" t="s">
        <v>84</v>
      </c>
      <c r="F32" s="16" t="n">
        <v>0</v>
      </c>
      <c r="G32" s="29"/>
      <c r="H32" s="16"/>
      <c r="I32" s="16"/>
    </row>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A2:B2"/>
    <mergeCell ref="G2:I2"/>
    <mergeCell ref="A13:B13"/>
  </mergeCells>
  <conditionalFormatting sqref="G24">
    <cfRule type="expression" priority="2" aboveAverage="0" equalAverage="0" bottom="0" percent="0" rank="0" text="" dxfId="0">
      <formula>ROUND($G$24 - $H$7, 1) &lt; VLOOKUP("tRAS",$A$14:$B$32, 2, 0)</formula>
    </cfRule>
  </conditionalFormatting>
  <conditionalFormatting sqref="G24">
    <cfRule type="expression" priority="3" aboveAverage="0" equalAverage="0" bottom="0" percent="0" rank="0" text="" dxfId="1">
      <formula>ROUND($G$24 - $H$26, 1) &lt; VLOOKUP("tRC",$A$14:$B$32, 2, 0)</formula>
    </cfRule>
  </conditionalFormatting>
  <conditionalFormatting sqref="G13">
    <cfRule type="expression" priority="4" aboveAverage="0" equalAverage="0" bottom="0" percent="0" rank="0" text="" dxfId="0">
      <formula>ROUND($G$13-$H$7, 1) &lt; VLOOKUP("tRCD(min)",$A$14:$B$32,2,0)</formula>
    </cfRule>
  </conditionalFormatting>
  <conditionalFormatting sqref="G13">
    <cfRule type="expression" priority="5" aboveAverage="0" equalAverage="0" bottom="0" percent="0" rank="0" text="" dxfId="1">
      <formula>ROUND($G$13-$H$26,1) &lt; VLOOKUP("tCPN",$A$14:$B$32,2,0)</formula>
    </cfRule>
  </conditionalFormatting>
  <conditionalFormatting sqref="G13">
    <cfRule type="expression" priority="6" aboveAverage="0" equalAverage="0" bottom="0" percent="0" rank="0" text="" dxfId="2">
      <formula>ROUND($G$13-$H$7, 1) &gt;= VLOOKUP("tRCD(max)",$A$14:$B$32,2,0)</formula>
    </cfRule>
  </conditionalFormatting>
  <conditionalFormatting sqref="G18">
    <cfRule type="expression" priority="7" aboveAverage="0" equalAverage="0" bottom="0" percent="0" rank="0" text="" dxfId="0">
      <formula>ROUND($G$18 - $H$11, 1) &lt; VLOOKUP("tCAH",$A$14:$B$26,2,0)</formula>
    </cfRule>
  </conditionalFormatting>
  <conditionalFormatting sqref="G7">
    <cfRule type="expression" priority="8" aboveAverage="0" equalAverage="0" bottom="0" percent="0" rank="0" text="" dxfId="0">
      <formula>ROUND($G$7-$H$26,1) &lt; VLOOKUP("tRP",$A$14:$B$32,2,0)</formula>
    </cfRule>
  </conditionalFormatting>
  <conditionalFormatting sqref="G9">
    <cfRule type="expression" priority="9" aboveAverage="0" equalAverage="0" bottom="0" percent="0" rank="0" text="" dxfId="0">
      <formula>ROUND($G$9 - $H$7, 1) &lt; VLOOKUP("tRAH",$A$14:$B$32,2,0)</formula>
    </cfRule>
  </conditionalFormatting>
  <conditionalFormatting sqref="G17">
    <cfRule type="expression" priority="10" aboveAverage="0" equalAverage="0" bottom="0" percent="0" rank="0" text="" dxfId="0">
      <formula>ROUND($G$17 - $H$11, 1) &lt; VLOOKUP("tWP",$A$14:$B$32,2,0)</formula>
    </cfRule>
  </conditionalFormatting>
  <conditionalFormatting sqref="G11">
    <cfRule type="expression" priority="11" aboveAverage="0" equalAverage="0" bottom="0" percent="0" rank="0" text="" dxfId="1">
      <formula>ROUND($G$11-$H$26,1) &lt; VLOOKUP("tCPN",$A$14:$B$32,2,0)</formula>
    </cfRule>
  </conditionalFormatting>
  <conditionalFormatting sqref="G18">
    <cfRule type="expression" priority="12" aboveAverage="0" equalAverage="0" bottom="0" percent="0" rank="0" text="" dxfId="0">
      <formula>ROUND($G$18 - $H$13, 1) &lt; VLOOKUP("tCAH",$A$14:$B$26,2,0)</formula>
    </cfRule>
  </conditionalFormatting>
  <conditionalFormatting sqref="G20">
    <cfRule type="expression" priority="13" aboveAverage="0" equalAverage="0" bottom="0" percent="0" rank="0" text="" dxfId="0">
      <formula>ROUND($G$20 - $H$7, 1) &lt; VLOOKUP("tRAC",$A$14:$B$26,2,0)</formula>
    </cfRule>
  </conditionalFormatting>
  <conditionalFormatting sqref="G17">
    <cfRule type="expression" priority="14" aboveAverage="0" equalAverage="0" bottom="0" percent="0" rank="0" text="" dxfId="1">
      <formula>ROUND($G$17 - $H$11, 1) &lt; VLOOKUP("tWCH",$A$14:$B$32,2,0)</formula>
    </cfRule>
  </conditionalFormatting>
  <conditionalFormatting sqref="G21">
    <cfRule type="expression" priority="15" aboveAverage="0" equalAverage="0" bottom="0" percent="0" rank="0" text="" dxfId="0">
      <formula>ROUND($G$21 - $H$13, 1) &lt; VLOOKUP("tCAS", $A$14:$B$32, 2, 0)</formula>
    </cfRule>
  </conditionalFormatting>
  <conditionalFormatting sqref="G17">
    <cfRule type="expression" priority="16" aboveAverage="0" equalAverage="0" bottom="0" percent="0" rank="0" text="" dxfId="3">
      <formula>ROUND($G$17 - $H$7, 1) &lt; VLOOKUP("tWCR",$A$14:$B$32,2,0)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9.63"/>
    <col collapsed="false" customWidth="true" hidden="false" outlineLevel="0" max="2" min="2" style="0" width="8.63"/>
    <col collapsed="false" customWidth="true" hidden="false" outlineLevel="0" max="3" min="3" style="0" width="5.25"/>
    <col collapsed="false" customWidth="true" hidden="false" outlineLevel="0" max="4" min="4" style="0" width="14.88"/>
    <col collapsed="false" customWidth="true" hidden="false" outlineLevel="0" max="5" min="5" style="0" width="19.88"/>
    <col collapsed="false" customWidth="true" hidden="false" outlineLevel="0" max="6" min="6" style="0" width="6.38"/>
    <col collapsed="false" customWidth="true" hidden="false" outlineLevel="0" max="7" min="7" style="0" width="11.38"/>
    <col collapsed="false" customWidth="true" hidden="false" outlineLevel="0" max="8" min="8" style="0" width="10.38"/>
    <col collapsed="false" customWidth="true" hidden="false" outlineLevel="0" max="9" min="9" style="0" width="141.63"/>
  </cols>
  <sheetData>
    <row r="1" customFormat="false" ht="15.75" hidden="false" customHeight="true" outlineLevel="0" collapsed="false">
      <c r="H1" s="6"/>
      <c r="I1" s="6"/>
    </row>
    <row r="2" customFormat="false" ht="15.75" hidden="false" customHeight="true" outlineLevel="0" collapsed="false">
      <c r="A2" s="7" t="s">
        <v>6</v>
      </c>
      <c r="B2" s="7"/>
      <c r="F2" s="8"/>
      <c r="G2" s="7" t="s">
        <v>7</v>
      </c>
      <c r="H2" s="7"/>
      <c r="I2" s="7"/>
    </row>
    <row r="3" customFormat="false" ht="15.75" hidden="false" customHeight="true" outlineLevel="0" collapsed="false">
      <c r="A3" s="9" t="s">
        <v>8</v>
      </c>
      <c r="B3" s="10" t="s">
        <v>9</v>
      </c>
      <c r="C3" s="11"/>
      <c r="D3" s="10" t="s">
        <v>10</v>
      </c>
      <c r="E3" s="12" t="s">
        <v>11</v>
      </c>
      <c r="F3" s="12" t="s">
        <v>12</v>
      </c>
      <c r="G3" s="13" t="s">
        <v>13</v>
      </c>
      <c r="H3" s="12" t="s">
        <v>14</v>
      </c>
      <c r="I3" s="9" t="s">
        <v>1</v>
      </c>
    </row>
    <row r="4" customFormat="false" ht="15.75" hidden="false" customHeight="true" outlineLevel="0" collapsed="false">
      <c r="A4" s="9" t="n">
        <v>0</v>
      </c>
      <c r="B4" s="14" t="n">
        <v>0</v>
      </c>
      <c r="C4" s="15"/>
      <c r="D4" s="14" t="s">
        <v>15</v>
      </c>
      <c r="E4" s="16" t="s">
        <v>16</v>
      </c>
      <c r="F4" s="16" t="n">
        <v>1</v>
      </c>
      <c r="G4" s="17" t="n">
        <f aca="false">H30</f>
        <v>16.665</v>
      </c>
      <c r="H4" s="18" t="n">
        <f aca="true">G4+(OFFSET($B$4,$F4,0)+1)*3.333</f>
        <v>19.998</v>
      </c>
      <c r="I4" s="16" t="s">
        <v>17</v>
      </c>
    </row>
    <row r="5" customFormat="false" ht="15.75" hidden="false" customHeight="true" outlineLevel="0" collapsed="false">
      <c r="A5" s="19" t="n">
        <v>1</v>
      </c>
      <c r="B5" s="14" t="n">
        <v>0</v>
      </c>
      <c r="C5" s="15"/>
      <c r="D5" s="14"/>
      <c r="E5" s="16" t="s">
        <v>18</v>
      </c>
      <c r="F5" s="16" t="n">
        <v>2</v>
      </c>
      <c r="G5" s="17" t="n">
        <f aca="false">H4</f>
        <v>19.998</v>
      </c>
      <c r="H5" s="18" t="n">
        <f aca="true">G5+(OFFSET($B$4,$F5,0)+1)*3.333</f>
        <v>119.988</v>
      </c>
      <c r="I5" s="16" t="s">
        <v>19</v>
      </c>
    </row>
    <row r="6" customFormat="false" ht="15.75" hidden="false" customHeight="true" outlineLevel="0" collapsed="false">
      <c r="A6" s="19" t="n">
        <v>2</v>
      </c>
      <c r="B6" s="14" t="n">
        <v>29</v>
      </c>
      <c r="C6" s="15"/>
      <c r="D6" s="14"/>
      <c r="E6" s="16" t="s">
        <v>20</v>
      </c>
      <c r="F6" s="16" t="n">
        <v>0</v>
      </c>
      <c r="G6" s="17" t="n">
        <f aca="false">H5</f>
        <v>119.988</v>
      </c>
      <c r="H6" s="18" t="n">
        <f aca="true">G6+(OFFSET($B$4,$F6,0)+1)*3.333</f>
        <v>123.321</v>
      </c>
      <c r="I6" s="16" t="s">
        <v>21</v>
      </c>
    </row>
    <row r="7" customFormat="false" ht="15.75" hidden="false" customHeight="true" outlineLevel="0" collapsed="false">
      <c r="A7" s="19" t="n">
        <v>3</v>
      </c>
      <c r="B7" s="14" t="n">
        <v>5</v>
      </c>
      <c r="C7" s="15"/>
      <c r="D7" s="14"/>
      <c r="E7" s="20" t="s">
        <v>22</v>
      </c>
      <c r="F7" s="16" t="n">
        <v>0</v>
      </c>
      <c r="G7" s="21" t="n">
        <f aca="false">H6</f>
        <v>123.321</v>
      </c>
      <c r="H7" s="22" t="n">
        <f aca="true">G7+(OFFSET($B$4,$F7,0)+1)*3.333</f>
        <v>126.654</v>
      </c>
      <c r="I7" s="16" t="s">
        <v>23</v>
      </c>
    </row>
    <row r="8" customFormat="false" ht="15.75" hidden="false" customHeight="true" outlineLevel="0" collapsed="false">
      <c r="A8" s="19" t="n">
        <v>4</v>
      </c>
      <c r="B8" s="14" t="n">
        <v>14</v>
      </c>
      <c r="C8" s="15"/>
      <c r="D8" s="14"/>
      <c r="E8" s="16" t="s">
        <v>24</v>
      </c>
      <c r="F8" s="16" t="n">
        <v>3</v>
      </c>
      <c r="G8" s="17" t="n">
        <f aca="false">H7</f>
        <v>126.654</v>
      </c>
      <c r="H8" s="18" t="n">
        <f aca="true">G8+(OFFSET($B$4,$F8,0)+1)*3.333</f>
        <v>146.652</v>
      </c>
      <c r="I8" s="16" t="s">
        <v>25</v>
      </c>
    </row>
    <row r="9" customFormat="false" ht="15.75" hidden="false" customHeight="true" outlineLevel="0" collapsed="false">
      <c r="A9" s="19" t="n">
        <v>5</v>
      </c>
      <c r="B9" s="14" t="n">
        <v>7</v>
      </c>
      <c r="C9" s="15"/>
      <c r="D9" s="14" t="s">
        <v>26</v>
      </c>
      <c r="E9" s="20" t="s">
        <v>27</v>
      </c>
      <c r="F9" s="16" t="n">
        <v>0</v>
      </c>
      <c r="G9" s="21" t="n">
        <f aca="false">H8</f>
        <v>146.652</v>
      </c>
      <c r="H9" s="18" t="n">
        <f aca="true">G9+(OFFSET($B$4,$F9,0)+1)*3.333</f>
        <v>149.985</v>
      </c>
      <c r="I9" s="16" t="s">
        <v>28</v>
      </c>
    </row>
    <row r="10" customFormat="false" ht="15.75" hidden="false" customHeight="true" outlineLevel="0" collapsed="false">
      <c r="A10" s="19" t="n">
        <v>6</v>
      </c>
      <c r="B10" s="14" t="n">
        <v>4</v>
      </c>
      <c r="C10" s="15"/>
      <c r="D10" s="14"/>
      <c r="E10" s="16" t="s">
        <v>29</v>
      </c>
      <c r="F10" s="16" t="n">
        <v>0</v>
      </c>
      <c r="G10" s="17" t="n">
        <f aca="false">H9</f>
        <v>149.985</v>
      </c>
      <c r="H10" s="18" t="n">
        <f aca="true">G10+(OFFSET($B$4,$F10,0)+1)*3.333</f>
        <v>153.318</v>
      </c>
      <c r="I10" s="16" t="s">
        <v>30</v>
      </c>
    </row>
    <row r="11" customFormat="false" ht="15.75" hidden="false" customHeight="true" outlineLevel="0" collapsed="false">
      <c r="A11" s="19" t="n">
        <v>7</v>
      </c>
      <c r="B11" s="14" t="n">
        <v>0</v>
      </c>
      <c r="C11" s="15"/>
      <c r="D11" s="14"/>
      <c r="E11" s="16" t="s">
        <v>31</v>
      </c>
      <c r="F11" s="16" t="n">
        <v>0</v>
      </c>
      <c r="G11" s="21" t="n">
        <f aca="false">H10</f>
        <v>153.318</v>
      </c>
      <c r="H11" s="22" t="n">
        <f aca="true">G11+(OFFSET($B$4,$F11,0)+1)*3.333</f>
        <v>156.651</v>
      </c>
      <c r="I11" s="16" t="s">
        <v>32</v>
      </c>
    </row>
    <row r="12" customFormat="false" ht="15.75" hidden="false" customHeight="true" outlineLevel="0" collapsed="false">
      <c r="A12" s="15"/>
      <c r="B12" s="15"/>
      <c r="C12" s="15" t="s">
        <v>5</v>
      </c>
      <c r="D12" s="14"/>
      <c r="E12" s="16" t="s">
        <v>33</v>
      </c>
      <c r="F12" s="16" t="n">
        <v>0</v>
      </c>
      <c r="G12" s="17" t="n">
        <f aca="false">H11</f>
        <v>156.651</v>
      </c>
      <c r="H12" s="18" t="n">
        <f aca="true">G12+(OFFSET($B$4,$F12,0)+1)*3.333</f>
        <v>159.984</v>
      </c>
      <c r="I12" s="16" t="s">
        <v>34</v>
      </c>
    </row>
    <row r="13" customFormat="false" ht="15.75" hidden="false" customHeight="true" outlineLevel="0" collapsed="false">
      <c r="A13" s="23" t="s">
        <v>35</v>
      </c>
      <c r="B13" s="23"/>
      <c r="C13" s="15"/>
      <c r="D13" s="14" t="s">
        <v>36</v>
      </c>
      <c r="E13" s="20" t="s">
        <v>37</v>
      </c>
      <c r="F13" s="16" t="n">
        <v>0</v>
      </c>
      <c r="G13" s="24" t="n">
        <f aca="false">H10</f>
        <v>153.318</v>
      </c>
      <c r="H13" s="22" t="n">
        <f aca="true">G13+(OFFSET($B$4,$F13,0)+1)*3.333</f>
        <v>156.651</v>
      </c>
      <c r="I13" s="16" t="s">
        <v>38</v>
      </c>
    </row>
    <row r="14" customFormat="false" ht="15.75" hidden="false" customHeight="true" outlineLevel="0" collapsed="false">
      <c r="A14" s="19" t="s">
        <v>39</v>
      </c>
      <c r="B14" s="14" t="n">
        <v>120</v>
      </c>
      <c r="C14" s="15"/>
      <c r="D14" s="14"/>
      <c r="E14" s="16" t="s">
        <v>40</v>
      </c>
      <c r="F14" s="16" t="n">
        <v>0</v>
      </c>
      <c r="G14" s="25" t="n">
        <f aca="false">H13</f>
        <v>156.651</v>
      </c>
      <c r="H14" s="18" t="n">
        <f aca="true">G14+(OFFSET($B$4,$F14,0)+1)*3.333</f>
        <v>159.984</v>
      </c>
      <c r="I14" s="16" t="s">
        <v>41</v>
      </c>
    </row>
    <row r="15" customFormat="false" ht="15.75" hidden="false" customHeight="true" outlineLevel="0" collapsed="false">
      <c r="A15" s="19" t="s">
        <v>42</v>
      </c>
      <c r="B15" s="14" t="n">
        <v>55</v>
      </c>
      <c r="C15" s="15"/>
      <c r="D15" s="14" t="s">
        <v>43</v>
      </c>
      <c r="E15" s="16" t="s">
        <v>44</v>
      </c>
      <c r="F15" s="16" t="n">
        <v>0</v>
      </c>
      <c r="G15" s="17" t="n">
        <f aca="false">H12</f>
        <v>159.984</v>
      </c>
      <c r="H15" s="18" t="n">
        <f aca="true">G15+(OFFSET($B$4,$F15,0)+1)*3.333</f>
        <v>163.317</v>
      </c>
      <c r="I15" s="16" t="s">
        <v>45</v>
      </c>
    </row>
    <row r="16" customFormat="false" ht="15.75" hidden="false" customHeight="true" outlineLevel="0" collapsed="false">
      <c r="A16" s="19" t="s">
        <v>46</v>
      </c>
      <c r="B16" s="14" t="n">
        <v>120</v>
      </c>
      <c r="C16" s="15"/>
      <c r="D16" s="14"/>
      <c r="E16" s="16" t="s">
        <v>47</v>
      </c>
      <c r="F16" s="16" t="n">
        <v>4</v>
      </c>
      <c r="G16" s="17" t="n">
        <f aca="false">H15</f>
        <v>163.317</v>
      </c>
      <c r="H16" s="18" t="n">
        <f aca="true">G16+(OFFSET($B$4,$F16,0)+1)*3.333</f>
        <v>213.312</v>
      </c>
      <c r="I16" s="16" t="s">
        <v>48</v>
      </c>
    </row>
    <row r="17" customFormat="false" ht="15.75" hidden="false" customHeight="true" outlineLevel="0" collapsed="false">
      <c r="A17" s="19" t="s">
        <v>49</v>
      </c>
      <c r="B17" s="14" t="n">
        <v>15</v>
      </c>
      <c r="C17" s="15"/>
      <c r="D17" s="14"/>
      <c r="E17" s="20" t="s">
        <v>37</v>
      </c>
      <c r="F17" s="16" t="n">
        <v>0</v>
      </c>
      <c r="G17" s="21" t="n">
        <f aca="false">H16</f>
        <v>213.312</v>
      </c>
      <c r="H17" s="22" t="n">
        <f aca="true">G17+(OFFSET($B$4,$F17,0)+1)*3.333</f>
        <v>216.645</v>
      </c>
      <c r="I17" s="16" t="s">
        <v>50</v>
      </c>
    </row>
    <row r="18" customFormat="false" ht="15.75" hidden="false" customHeight="true" outlineLevel="0" collapsed="false">
      <c r="A18" s="19" t="s">
        <v>51</v>
      </c>
      <c r="B18" s="14" t="n">
        <v>20</v>
      </c>
      <c r="C18" s="15"/>
      <c r="D18" s="14"/>
      <c r="E18" s="16" t="s">
        <v>27</v>
      </c>
      <c r="F18" s="16" t="n">
        <v>0</v>
      </c>
      <c r="G18" s="21" t="n">
        <f aca="false">H17</f>
        <v>216.645</v>
      </c>
      <c r="H18" s="18" t="n">
        <f aca="true">G18+(OFFSET($B$4,$F18,0)+1)*3.333</f>
        <v>219.978</v>
      </c>
      <c r="I18" s="16" t="s">
        <v>52</v>
      </c>
    </row>
    <row r="19" customFormat="false" ht="15.75" hidden="false" customHeight="true" outlineLevel="0" collapsed="false">
      <c r="A19" s="19" t="s">
        <v>53</v>
      </c>
      <c r="B19" s="14" t="n">
        <v>120</v>
      </c>
      <c r="C19" s="15"/>
      <c r="D19" s="14"/>
      <c r="E19" s="16" t="s">
        <v>54</v>
      </c>
      <c r="F19" s="16" t="n">
        <v>5</v>
      </c>
      <c r="G19" s="17" t="n">
        <f aca="false">H18</f>
        <v>219.978</v>
      </c>
      <c r="H19" s="18" t="n">
        <f aca="true">G19+(OFFSET($B$4,$F19,0)+1)*3.333</f>
        <v>246.642</v>
      </c>
      <c r="I19" s="16" t="s">
        <v>55</v>
      </c>
    </row>
    <row r="20" customFormat="false" ht="15.75" hidden="false" customHeight="true" outlineLevel="0" collapsed="false">
      <c r="A20" s="19" t="s">
        <v>56</v>
      </c>
      <c r="B20" s="14" t="n">
        <v>30</v>
      </c>
      <c r="C20" s="15"/>
      <c r="D20" s="14"/>
      <c r="E20" s="16" t="s">
        <v>57</v>
      </c>
      <c r="F20" s="16" t="n">
        <v>0</v>
      </c>
      <c r="G20" s="21" t="n">
        <f aca="false">H19</f>
        <v>246.642</v>
      </c>
      <c r="H20" s="18" t="n">
        <f aca="true">G20+(OFFSET($B$4,$F20,0)+1)*3.333</f>
        <v>249.975</v>
      </c>
      <c r="I20" s="16" t="s">
        <v>58</v>
      </c>
    </row>
    <row r="21" customFormat="false" ht="15.75" hidden="false" customHeight="true" outlineLevel="0" collapsed="false">
      <c r="A21" s="19" t="s">
        <v>59</v>
      </c>
      <c r="B21" s="16" t="n">
        <v>30</v>
      </c>
      <c r="C21" s="15"/>
      <c r="D21" s="14"/>
      <c r="E21" s="16" t="s">
        <v>22</v>
      </c>
      <c r="F21" s="16" t="n">
        <v>0</v>
      </c>
      <c r="G21" s="21" t="n">
        <f aca="false">H20</f>
        <v>249.975</v>
      </c>
      <c r="H21" s="18" t="n">
        <f aca="true">G21+(OFFSET($B$4,$F21,0)+1)*3.333</f>
        <v>253.308</v>
      </c>
      <c r="I21" s="16" t="s">
        <v>60</v>
      </c>
    </row>
    <row r="22" customFormat="false" ht="15.75" hidden="false" customHeight="true" outlineLevel="0" collapsed="false">
      <c r="A22" s="19" t="s">
        <v>61</v>
      </c>
      <c r="B22" s="14" t="n">
        <v>25</v>
      </c>
      <c r="C22" s="15"/>
      <c r="D22" s="14"/>
      <c r="E22" s="16" t="s">
        <v>62</v>
      </c>
      <c r="F22" s="16" t="n">
        <v>0</v>
      </c>
      <c r="G22" s="17" t="n">
        <f aca="false">H21</f>
        <v>253.308</v>
      </c>
      <c r="H22" s="18" t="n">
        <f aca="true">G22+(OFFSET($B$4,$F22,0)+1)*3.333</f>
        <v>256.641</v>
      </c>
      <c r="I22" s="16"/>
    </row>
    <row r="23" customFormat="false" ht="15.75" hidden="false" customHeight="true" outlineLevel="0" collapsed="false">
      <c r="A23" s="19" t="s">
        <v>63</v>
      </c>
      <c r="B23" s="14" t="n">
        <v>55</v>
      </c>
      <c r="C23" s="15"/>
      <c r="D23" s="14"/>
      <c r="E23" s="16" t="s">
        <v>64</v>
      </c>
      <c r="F23" s="16" t="n">
        <v>6</v>
      </c>
      <c r="G23" s="17" t="n">
        <f aca="false">H22</f>
        <v>256.641</v>
      </c>
      <c r="H23" s="18" t="n">
        <f aca="true">G23+(OFFSET($B$4,$F23,0)+1)*3.333</f>
        <v>273.306</v>
      </c>
      <c r="I23" s="16" t="s">
        <v>65</v>
      </c>
    </row>
    <row r="24" customFormat="false" ht="15.75" hidden="false" customHeight="true" outlineLevel="0" collapsed="false">
      <c r="A24" s="19" t="s">
        <v>66</v>
      </c>
      <c r="B24" s="14" t="n">
        <v>140</v>
      </c>
      <c r="C24" s="15"/>
      <c r="D24" s="14"/>
      <c r="E24" s="20" t="s">
        <v>67</v>
      </c>
      <c r="F24" s="16" t="n">
        <v>0</v>
      </c>
      <c r="G24" s="21" t="n">
        <f aca="false">H23</f>
        <v>273.306</v>
      </c>
      <c r="H24" s="18" t="n">
        <f aca="true">G24+(OFFSET($B$4,$F24,0)+1)*3.333</f>
        <v>276.639</v>
      </c>
      <c r="I24" s="26" t="s">
        <v>68</v>
      </c>
    </row>
    <row r="25" customFormat="false" ht="15.75" hidden="false" customHeight="true" outlineLevel="0" collapsed="false">
      <c r="A25" s="19" t="s">
        <v>69</v>
      </c>
      <c r="B25" s="14" t="n">
        <v>65</v>
      </c>
      <c r="C25" s="15"/>
      <c r="D25" s="14"/>
      <c r="E25" s="16" t="s">
        <v>70</v>
      </c>
      <c r="F25" s="16" t="n">
        <v>0</v>
      </c>
      <c r="G25" s="27" t="n">
        <v>0</v>
      </c>
      <c r="H25" s="28" t="n">
        <f aca="false">G25+3.333</f>
        <v>3.333</v>
      </c>
      <c r="I25" s="16"/>
    </row>
    <row r="26" customFormat="false" ht="15.75" hidden="false" customHeight="true" outlineLevel="0" collapsed="false">
      <c r="A26" s="19" t="s">
        <v>71</v>
      </c>
      <c r="B26" s="14" t="n">
        <v>270</v>
      </c>
      <c r="C26" s="15"/>
      <c r="D26" s="14" t="s">
        <v>72</v>
      </c>
      <c r="E26" s="16" t="s">
        <v>73</v>
      </c>
      <c r="F26" s="16" t="n">
        <v>0</v>
      </c>
      <c r="G26" s="17" t="n">
        <v>0</v>
      </c>
      <c r="H26" s="18" t="n">
        <f aca="true">G26+(OFFSET($B$4,$F26,0)+1)*3.333</f>
        <v>3.333</v>
      </c>
      <c r="I26" s="16" t="s">
        <v>74</v>
      </c>
    </row>
    <row r="27" customFormat="false" ht="15.75" hidden="false" customHeight="true" outlineLevel="0" collapsed="false">
      <c r="A27" s="19" t="s">
        <v>75</v>
      </c>
      <c r="B27" s="14" t="n">
        <v>320</v>
      </c>
      <c r="C27" s="15"/>
      <c r="D27" s="14" t="s">
        <v>76</v>
      </c>
      <c r="E27" s="16" t="s">
        <v>77</v>
      </c>
      <c r="F27" s="16" t="n">
        <v>0</v>
      </c>
      <c r="G27" s="17" t="n">
        <f aca="false">H26</f>
        <v>3.333</v>
      </c>
      <c r="H27" s="18" t="n">
        <f aca="true">G27+(OFFSET($B$4,$F27,0)+1)*3.333</f>
        <v>6.666</v>
      </c>
      <c r="I27" s="16"/>
    </row>
    <row r="28" customFormat="false" ht="15.75" hidden="false" customHeight="true" outlineLevel="0" collapsed="false">
      <c r="A28" s="19" t="s">
        <v>78</v>
      </c>
      <c r="B28" s="14" t="n">
        <v>85</v>
      </c>
      <c r="C28" s="15"/>
      <c r="D28" s="14"/>
      <c r="E28" s="16" t="s">
        <v>79</v>
      </c>
      <c r="F28" s="16" t="n">
        <v>0</v>
      </c>
      <c r="G28" s="17" t="n">
        <f aca="false">H27</f>
        <v>6.666</v>
      </c>
      <c r="H28" s="18" t="n">
        <f aca="true">G28+(OFFSET($B$4,$F28,0)+1)*3.333</f>
        <v>9.999</v>
      </c>
      <c r="I28" s="16"/>
    </row>
    <row r="29" customFormat="false" ht="15.75" hidden="false" customHeight="true" outlineLevel="0" collapsed="false">
      <c r="A29" s="19"/>
      <c r="B29" s="14"/>
      <c r="C29" s="15"/>
      <c r="D29" s="14"/>
      <c r="E29" s="16" t="s">
        <v>80</v>
      </c>
      <c r="F29" s="16" t="n">
        <v>0</v>
      </c>
      <c r="G29" s="17" t="n">
        <f aca="false">H28</f>
        <v>9.999</v>
      </c>
      <c r="H29" s="18" t="n">
        <f aca="true">G29+(OFFSET($B$4,$F29,0)+1)*3.333</f>
        <v>13.332</v>
      </c>
      <c r="I29" s="16"/>
    </row>
    <row r="30" customFormat="false" ht="15.75" hidden="false" customHeight="true" outlineLevel="0" collapsed="false">
      <c r="A30" s="19"/>
      <c r="B30" s="14"/>
      <c r="C30" s="15"/>
      <c r="D30" s="14"/>
      <c r="E30" s="16" t="s">
        <v>81</v>
      </c>
      <c r="F30" s="16" t="n">
        <v>0</v>
      </c>
      <c r="G30" s="17" t="n">
        <f aca="false">H29</f>
        <v>13.332</v>
      </c>
      <c r="H30" s="18" t="n">
        <f aca="true">G30+(OFFSET($B$4,$F30,0)+1)*3.333</f>
        <v>16.665</v>
      </c>
      <c r="I30" s="16"/>
    </row>
    <row r="31" customFormat="false" ht="15.75" hidden="false" customHeight="true" outlineLevel="0" collapsed="false">
      <c r="A31" s="19"/>
      <c r="B31" s="14"/>
      <c r="C31" s="15"/>
      <c r="D31" s="14"/>
      <c r="E31" s="16" t="s">
        <v>82</v>
      </c>
      <c r="F31" s="16" t="n">
        <v>7</v>
      </c>
      <c r="G31" s="29"/>
      <c r="H31" s="16"/>
      <c r="I31" s="16" t="s">
        <v>83</v>
      </c>
    </row>
    <row r="32" customFormat="false" ht="15.75" hidden="false" customHeight="true" outlineLevel="0" collapsed="false">
      <c r="A32" s="19"/>
      <c r="B32" s="14"/>
      <c r="C32" s="15"/>
      <c r="D32" s="14"/>
      <c r="E32" s="16" t="s">
        <v>84</v>
      </c>
      <c r="F32" s="16" t="n">
        <v>0</v>
      </c>
      <c r="G32" s="29"/>
      <c r="H32" s="16"/>
      <c r="I32" s="16"/>
    </row>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A2:B2"/>
    <mergeCell ref="G2:I2"/>
    <mergeCell ref="A13:B13"/>
  </mergeCells>
  <conditionalFormatting sqref="G24">
    <cfRule type="expression" priority="2" aboveAverage="0" equalAverage="0" bottom="0" percent="0" rank="0" text="" dxfId="0">
      <formula>ROUND($G$24 - $H$7, 1) &lt; VLOOKUP("tRAS",$A$14:$B$32, 2, 0)</formula>
    </cfRule>
  </conditionalFormatting>
  <conditionalFormatting sqref="G24">
    <cfRule type="expression" priority="3" aboveAverage="0" equalAverage="0" bottom="0" percent="0" rank="0" text="" dxfId="1">
      <formula>ROUND($G$24 - $H$26, 1) &lt; VLOOKUP("tRC",$A$14:$B$32, 2, 0)</formula>
    </cfRule>
  </conditionalFormatting>
  <conditionalFormatting sqref="G13">
    <cfRule type="expression" priority="4" aboveAverage="0" equalAverage="0" bottom="0" percent="0" rank="0" text="" dxfId="0">
      <formula>ROUND($G$13-$H$7, 1) &lt; VLOOKUP("tRCD(min)",$A$14:$B$32,2,0)</formula>
    </cfRule>
  </conditionalFormatting>
  <conditionalFormatting sqref="G13">
    <cfRule type="expression" priority="5" aboveAverage="0" equalAverage="0" bottom="0" percent="0" rank="0" text="" dxfId="1">
      <formula>ROUND($G$13-$H$26,1) &lt; VLOOKUP("tCPN",$A$14:$B$32,2,0)</formula>
    </cfRule>
  </conditionalFormatting>
  <conditionalFormatting sqref="G13">
    <cfRule type="expression" priority="6" aboveAverage="0" equalAverage="0" bottom="0" percent="0" rank="0" text="" dxfId="2">
      <formula>ROUND($G$13-$H$7, 1) &gt;= VLOOKUP("tRCD(max)",$A$14:$B$32,2,0)</formula>
    </cfRule>
  </conditionalFormatting>
  <conditionalFormatting sqref="G18">
    <cfRule type="expression" priority="7" aboveAverage="0" equalAverage="0" bottom="0" percent="0" rank="0" text="" dxfId="0">
      <formula>ROUND($G$18 - $H$11, 1) &lt; VLOOKUP("tCAH",$A$14:$B$26,2,0)</formula>
    </cfRule>
  </conditionalFormatting>
  <conditionalFormatting sqref="G7">
    <cfRule type="expression" priority="8" aboveAverage="0" equalAverage="0" bottom="0" percent="0" rank="0" text="" dxfId="0">
      <formula>ROUND($G$7-$H$26,1) &lt; VLOOKUP("tRP",$A$14:$B$32,2,0)</formula>
    </cfRule>
  </conditionalFormatting>
  <conditionalFormatting sqref="G9">
    <cfRule type="expression" priority="9" aboveAverage="0" equalAverage="0" bottom="0" percent="0" rank="0" text="" dxfId="0">
      <formula>ROUND($G$9 - $H$7, 1) &lt; VLOOKUP("tRAH",$A$14:$B$32,2,0)</formula>
    </cfRule>
  </conditionalFormatting>
  <conditionalFormatting sqref="G17">
    <cfRule type="expression" priority="10" aboveAverage="0" equalAverage="0" bottom="0" percent="0" rank="0" text="" dxfId="0">
      <formula>ROUND($G$17 - $H$11, 1) &lt; VLOOKUP("tWP",$A$14:$B$32,2,0)</formula>
    </cfRule>
  </conditionalFormatting>
  <conditionalFormatting sqref="G11">
    <cfRule type="expression" priority="11" aboveAverage="0" equalAverage="0" bottom="0" percent="0" rank="0" text="" dxfId="1">
      <formula>ROUND($G$11-$H$26,1) &lt; VLOOKUP("tCPN",$A$14:$B$32,2,0)</formula>
    </cfRule>
  </conditionalFormatting>
  <conditionalFormatting sqref="G18">
    <cfRule type="expression" priority="12" aboveAverage="0" equalAverage="0" bottom="0" percent="0" rank="0" text="" dxfId="0">
      <formula>ROUND($G$18 - $H$13, 1) &lt; VLOOKUP("tCAH",$A$14:$B$26,2,0)</formula>
    </cfRule>
  </conditionalFormatting>
  <conditionalFormatting sqref="G20">
    <cfRule type="expression" priority="13" aboveAverage="0" equalAverage="0" bottom="0" percent="0" rank="0" text="" dxfId="0">
      <formula>ROUND($G$20 - $H$7, 1) &lt; VLOOKUP("tRAC",$A$14:$B$26,2,0)</formula>
    </cfRule>
  </conditionalFormatting>
  <conditionalFormatting sqref="G17">
    <cfRule type="expression" priority="14" aboveAverage="0" equalAverage="0" bottom="0" percent="0" rank="0" text="" dxfId="1">
      <formula>ROUND($G$17 - $H$11, 1) &lt; VLOOKUP("tWCH",$A$14:$B$32,2,0)</formula>
    </cfRule>
  </conditionalFormatting>
  <conditionalFormatting sqref="G21">
    <cfRule type="expression" priority="15" aboveAverage="0" equalAverage="0" bottom="0" percent="0" rank="0" text="" dxfId="0">
      <formula>ROUND($G$21 - $H$13, 1) &lt; VLOOKUP("tCAS", $A$14:$B$32, 2, 0)</formula>
    </cfRule>
  </conditionalFormatting>
  <conditionalFormatting sqref="G17">
    <cfRule type="expression" priority="16" aboveAverage="0" equalAverage="0" bottom="0" percent="0" rank="0" text="" dxfId="3">
      <formula>ROUND($G$17 - $H$7, 1) &lt; VLOOKUP("tWCR",$A$14:$B$32,2,0)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G37" activeCellId="0" sqref="G37"/>
    </sheetView>
  </sheetViews>
  <sheetFormatPr defaultColWidth="12.6328125" defaultRowHeight="15" zeroHeight="false" outlineLevelRow="0" outlineLevelCol="0"/>
  <cols>
    <col collapsed="false" customWidth="true" hidden="false" outlineLevel="0" max="1" min="1" style="0" width="9.63"/>
    <col collapsed="false" customWidth="true" hidden="false" outlineLevel="0" max="2" min="2" style="0" width="8.63"/>
    <col collapsed="false" customWidth="true" hidden="false" outlineLevel="0" max="3" min="3" style="0" width="5.25"/>
    <col collapsed="false" customWidth="true" hidden="false" outlineLevel="0" max="4" min="4" style="0" width="14.88"/>
    <col collapsed="false" customWidth="true" hidden="false" outlineLevel="0" max="5" min="5" style="0" width="19.88"/>
    <col collapsed="false" customWidth="true" hidden="false" outlineLevel="0" max="6" min="6" style="0" width="6.38"/>
    <col collapsed="false" customWidth="true" hidden="false" outlineLevel="0" max="7" min="7" style="0" width="11.38"/>
    <col collapsed="false" customWidth="true" hidden="false" outlineLevel="0" max="8" min="8" style="0" width="10.38"/>
    <col collapsed="false" customWidth="true" hidden="false" outlineLevel="0" max="9" min="9" style="0" width="141.63"/>
  </cols>
  <sheetData>
    <row r="1" customFormat="false" ht="15.75" hidden="false" customHeight="true" outlineLevel="0" collapsed="false">
      <c r="H1" s="6"/>
      <c r="I1" s="6"/>
    </row>
    <row r="2" customFormat="false" ht="15.75" hidden="false" customHeight="true" outlineLevel="0" collapsed="false">
      <c r="A2" s="7" t="s">
        <v>6</v>
      </c>
      <c r="B2" s="7"/>
      <c r="F2" s="8"/>
      <c r="G2" s="7" t="s">
        <v>7</v>
      </c>
      <c r="H2" s="7"/>
      <c r="I2" s="7"/>
    </row>
    <row r="3" customFormat="false" ht="15.75" hidden="false" customHeight="true" outlineLevel="0" collapsed="false">
      <c r="A3" s="9" t="s">
        <v>8</v>
      </c>
      <c r="B3" s="10" t="s">
        <v>9</v>
      </c>
      <c r="C3" s="11"/>
      <c r="D3" s="10" t="s">
        <v>10</v>
      </c>
      <c r="E3" s="12" t="s">
        <v>11</v>
      </c>
      <c r="F3" s="12" t="s">
        <v>12</v>
      </c>
      <c r="G3" s="34" t="s">
        <v>13</v>
      </c>
      <c r="H3" s="35" t="s">
        <v>14</v>
      </c>
      <c r="I3" s="36" t="s">
        <v>1</v>
      </c>
    </row>
    <row r="4" customFormat="false" ht="15.75" hidden="false" customHeight="true" outlineLevel="0" collapsed="false">
      <c r="A4" s="9" t="n">
        <v>0</v>
      </c>
      <c r="B4" s="14" t="n">
        <v>0</v>
      </c>
      <c r="C4" s="15"/>
      <c r="D4" s="37" t="s">
        <v>15</v>
      </c>
      <c r="E4" s="38" t="s">
        <v>16</v>
      </c>
      <c r="F4" s="38" t="n">
        <v>1</v>
      </c>
      <c r="G4" s="39" t="n">
        <f aca="false">H30</f>
        <v>16.665</v>
      </c>
      <c r="H4" s="39" t="n">
        <f aca="true">G4+(OFFSET($B$4,$F4,0)+1)*3.333</f>
        <v>29.997</v>
      </c>
      <c r="I4" s="38" t="s">
        <v>17</v>
      </c>
    </row>
    <row r="5" customFormat="false" ht="15.75" hidden="false" customHeight="true" outlineLevel="0" collapsed="false">
      <c r="A5" s="19" t="n">
        <v>1</v>
      </c>
      <c r="B5" s="14" t="n">
        <v>3</v>
      </c>
      <c r="C5" s="15"/>
      <c r="D5" s="14"/>
      <c r="E5" s="16" t="s">
        <v>18</v>
      </c>
      <c r="F5" s="16" t="n">
        <v>2</v>
      </c>
      <c r="G5" s="18" t="n">
        <f aca="false">H4</f>
        <v>29.997</v>
      </c>
      <c r="H5" s="18" t="n">
        <f aca="true">G5+(OFFSET($B$4,$F5,0)+1)*3.333</f>
        <v>136.653</v>
      </c>
      <c r="I5" s="16" t="s">
        <v>19</v>
      </c>
    </row>
    <row r="6" customFormat="false" ht="15.75" hidden="false" customHeight="true" outlineLevel="0" collapsed="false">
      <c r="A6" s="19" t="n">
        <v>2</v>
      </c>
      <c r="B6" s="14" t="n">
        <v>31</v>
      </c>
      <c r="C6" s="15"/>
      <c r="D6" s="14"/>
      <c r="E6" s="16" t="s">
        <v>20</v>
      </c>
      <c r="F6" s="16" t="n">
        <v>0</v>
      </c>
      <c r="G6" s="18" t="n">
        <f aca="false">H5</f>
        <v>136.653</v>
      </c>
      <c r="H6" s="18" t="n">
        <f aca="true">G6+(OFFSET($B$4,$F6,0)+1)*3.333</f>
        <v>139.986</v>
      </c>
      <c r="I6" s="16" t="s">
        <v>21</v>
      </c>
    </row>
    <row r="7" customFormat="false" ht="15.75" hidden="false" customHeight="true" outlineLevel="0" collapsed="false">
      <c r="A7" s="19" t="n">
        <v>3</v>
      </c>
      <c r="B7" s="14" t="n">
        <v>5</v>
      </c>
      <c r="C7" s="15"/>
      <c r="D7" s="14"/>
      <c r="E7" s="20" t="s">
        <v>22</v>
      </c>
      <c r="F7" s="16" t="n">
        <v>0</v>
      </c>
      <c r="G7" s="22" t="n">
        <f aca="false">H6</f>
        <v>139.986</v>
      </c>
      <c r="H7" s="22" t="n">
        <f aca="true">G7+(OFFSET($B$4,$F7,0)+1)*3.333</f>
        <v>143.319</v>
      </c>
      <c r="I7" s="16" t="s">
        <v>23</v>
      </c>
    </row>
    <row r="8" customFormat="false" ht="15.75" hidden="false" customHeight="true" outlineLevel="0" collapsed="false">
      <c r="A8" s="19" t="n">
        <v>4</v>
      </c>
      <c r="B8" s="14" t="n">
        <v>23</v>
      </c>
      <c r="C8" s="15"/>
      <c r="D8" s="14"/>
      <c r="E8" s="16" t="s">
        <v>24</v>
      </c>
      <c r="F8" s="16" t="n">
        <v>3</v>
      </c>
      <c r="G8" s="18" t="n">
        <f aca="false">H7</f>
        <v>143.319</v>
      </c>
      <c r="H8" s="18" t="n">
        <f aca="true">G8+(OFFSET($B$4,$F8,0)+1)*3.333</f>
        <v>163.317</v>
      </c>
      <c r="I8" s="16" t="s">
        <v>25</v>
      </c>
    </row>
    <row r="9" customFormat="false" ht="15.75" hidden="false" customHeight="true" outlineLevel="0" collapsed="false">
      <c r="A9" s="19" t="n">
        <v>5</v>
      </c>
      <c r="B9" s="14" t="n">
        <v>7</v>
      </c>
      <c r="C9" s="15"/>
      <c r="D9" s="14" t="s">
        <v>26</v>
      </c>
      <c r="E9" s="20" t="s">
        <v>27</v>
      </c>
      <c r="F9" s="16" t="n">
        <v>0</v>
      </c>
      <c r="G9" s="22" t="n">
        <f aca="false">H8</f>
        <v>163.317</v>
      </c>
      <c r="H9" s="18" t="n">
        <f aca="true">G9+(OFFSET($B$4,$F9,0)+1)*3.333</f>
        <v>166.65</v>
      </c>
      <c r="I9" s="16" t="s">
        <v>28</v>
      </c>
    </row>
    <row r="10" customFormat="false" ht="15.75" hidden="false" customHeight="true" outlineLevel="0" collapsed="false">
      <c r="A10" s="19" t="n">
        <v>6</v>
      </c>
      <c r="B10" s="14" t="n">
        <v>5</v>
      </c>
      <c r="C10" s="15"/>
      <c r="D10" s="14"/>
      <c r="E10" s="16" t="s">
        <v>29</v>
      </c>
      <c r="F10" s="16" t="n">
        <v>0</v>
      </c>
      <c r="G10" s="18" t="n">
        <f aca="false">H9</f>
        <v>166.65</v>
      </c>
      <c r="H10" s="18" t="n">
        <f aca="true">G10+(OFFSET($B$4,$F10,0)+1)*3.333</f>
        <v>169.983</v>
      </c>
      <c r="I10" s="16" t="s">
        <v>30</v>
      </c>
    </row>
    <row r="11" customFormat="false" ht="15.75" hidden="false" customHeight="true" outlineLevel="0" collapsed="false">
      <c r="A11" s="19" t="n">
        <v>7</v>
      </c>
      <c r="B11" s="14" t="n">
        <v>0</v>
      </c>
      <c r="C11" s="15"/>
      <c r="D11" s="14"/>
      <c r="E11" s="16" t="s">
        <v>31</v>
      </c>
      <c r="F11" s="16" t="n">
        <v>0</v>
      </c>
      <c r="G11" s="22" t="n">
        <f aca="false">H10</f>
        <v>169.983</v>
      </c>
      <c r="H11" s="22" t="n">
        <f aca="true">G11+(OFFSET($B$4,$F11,0)+1)*3.333</f>
        <v>173.316</v>
      </c>
      <c r="I11" s="16" t="s">
        <v>32</v>
      </c>
    </row>
    <row r="12" customFormat="false" ht="15.75" hidden="false" customHeight="true" outlineLevel="0" collapsed="false">
      <c r="A12" s="15"/>
      <c r="B12" s="15"/>
      <c r="C12" s="15" t="s">
        <v>5</v>
      </c>
      <c r="D12" s="14"/>
      <c r="E12" s="16" t="s">
        <v>33</v>
      </c>
      <c r="F12" s="16" t="n">
        <v>0</v>
      </c>
      <c r="G12" s="18" t="n">
        <f aca="false">H11</f>
        <v>173.316</v>
      </c>
      <c r="H12" s="18" t="n">
        <f aca="true">G12+(OFFSET($B$4,$F12,0)+1)*3.333</f>
        <v>176.649</v>
      </c>
      <c r="I12" s="16" t="s">
        <v>34</v>
      </c>
    </row>
    <row r="13" customFormat="false" ht="15.75" hidden="false" customHeight="true" outlineLevel="0" collapsed="false">
      <c r="A13" s="23" t="s">
        <v>35</v>
      </c>
      <c r="B13" s="23"/>
      <c r="C13" s="15"/>
      <c r="D13" s="14" t="s">
        <v>36</v>
      </c>
      <c r="E13" s="20" t="s">
        <v>37</v>
      </c>
      <c r="F13" s="16" t="n">
        <v>0</v>
      </c>
      <c r="G13" s="40" t="n">
        <f aca="false">H10</f>
        <v>169.983</v>
      </c>
      <c r="H13" s="22" t="n">
        <f aca="true">G13+(OFFSET($B$4,$F13,0)+1)*3.333</f>
        <v>173.316</v>
      </c>
      <c r="I13" s="16" t="s">
        <v>38</v>
      </c>
    </row>
    <row r="14" customFormat="false" ht="15.75" hidden="false" customHeight="true" outlineLevel="0" collapsed="false">
      <c r="A14" s="19" t="s">
        <v>39</v>
      </c>
      <c r="B14" s="14" t="n">
        <v>135</v>
      </c>
      <c r="C14" s="15"/>
      <c r="D14" s="14"/>
      <c r="E14" s="16" t="s">
        <v>40</v>
      </c>
      <c r="F14" s="16" t="n">
        <v>0</v>
      </c>
      <c r="G14" s="28" t="n">
        <f aca="false">H13</f>
        <v>173.316</v>
      </c>
      <c r="H14" s="18" t="n">
        <f aca="true">G14+(OFFSET($B$4,$F14,0)+1)*3.333</f>
        <v>176.649</v>
      </c>
      <c r="I14" s="16" t="s">
        <v>41</v>
      </c>
    </row>
    <row r="15" customFormat="false" ht="15.75" hidden="false" customHeight="true" outlineLevel="0" collapsed="false">
      <c r="A15" s="19" t="s">
        <v>42</v>
      </c>
      <c r="B15" s="14" t="n">
        <v>70</v>
      </c>
      <c r="C15" s="15"/>
      <c r="D15" s="14" t="s">
        <v>43</v>
      </c>
      <c r="E15" s="16" t="s">
        <v>44</v>
      </c>
      <c r="F15" s="16" t="n">
        <v>0</v>
      </c>
      <c r="G15" s="18" t="n">
        <f aca="false">H12</f>
        <v>176.649</v>
      </c>
      <c r="H15" s="18" t="n">
        <f aca="true">G15+(OFFSET($B$4,$F15,0)+1)*3.333</f>
        <v>179.982</v>
      </c>
      <c r="I15" s="16" t="s">
        <v>45</v>
      </c>
    </row>
    <row r="16" customFormat="false" ht="15.75" hidden="false" customHeight="true" outlineLevel="0" collapsed="false">
      <c r="A16" s="19" t="s">
        <v>46</v>
      </c>
      <c r="B16" s="14" t="n">
        <v>150</v>
      </c>
      <c r="C16" s="15"/>
      <c r="D16" s="14"/>
      <c r="E16" s="16" t="s">
        <v>47</v>
      </c>
      <c r="F16" s="16" t="n">
        <v>4</v>
      </c>
      <c r="G16" s="18" t="n">
        <f aca="false">H15</f>
        <v>179.982</v>
      </c>
      <c r="H16" s="18" t="n">
        <f aca="true">G16+(OFFSET($B$4,$F16,0)+1)*3.333</f>
        <v>259.974</v>
      </c>
      <c r="I16" s="16" t="s">
        <v>48</v>
      </c>
    </row>
    <row r="17" customFormat="false" ht="15.75" hidden="false" customHeight="true" outlineLevel="0" collapsed="false">
      <c r="A17" s="19" t="s">
        <v>49</v>
      </c>
      <c r="B17" s="14" t="n">
        <v>15</v>
      </c>
      <c r="C17" s="15"/>
      <c r="D17" s="14"/>
      <c r="E17" s="20" t="s">
        <v>37</v>
      </c>
      <c r="F17" s="16" t="n">
        <v>0</v>
      </c>
      <c r="G17" s="22" t="n">
        <f aca="false">H16</f>
        <v>259.974</v>
      </c>
      <c r="H17" s="22" t="n">
        <f aca="true">G17+(OFFSET($B$4,$F17,0)+1)*3.333</f>
        <v>263.307</v>
      </c>
      <c r="I17" s="16" t="s">
        <v>50</v>
      </c>
    </row>
    <row r="18" customFormat="false" ht="15.75" hidden="false" customHeight="true" outlineLevel="0" collapsed="false">
      <c r="A18" s="19" t="s">
        <v>51</v>
      </c>
      <c r="B18" s="14" t="n">
        <v>20</v>
      </c>
      <c r="C18" s="15"/>
      <c r="D18" s="14"/>
      <c r="E18" s="16" t="s">
        <v>27</v>
      </c>
      <c r="F18" s="16" t="n">
        <v>0</v>
      </c>
      <c r="G18" s="22" t="n">
        <f aca="false">H17</f>
        <v>263.307</v>
      </c>
      <c r="H18" s="18" t="n">
        <f aca="true">G18+(OFFSET($B$4,$F18,0)+1)*3.333</f>
        <v>266.64</v>
      </c>
      <c r="I18" s="16" t="s">
        <v>52</v>
      </c>
    </row>
    <row r="19" customFormat="false" ht="15.75" hidden="false" customHeight="true" outlineLevel="0" collapsed="false">
      <c r="A19" s="19" t="s">
        <v>53</v>
      </c>
      <c r="B19" s="14" t="n">
        <v>150</v>
      </c>
      <c r="C19" s="15"/>
      <c r="D19" s="14"/>
      <c r="E19" s="16" t="s">
        <v>54</v>
      </c>
      <c r="F19" s="16" t="n">
        <v>5</v>
      </c>
      <c r="G19" s="18" t="n">
        <f aca="false">H18</f>
        <v>266.64</v>
      </c>
      <c r="H19" s="18" t="n">
        <f aca="true">G19+(OFFSET($B$4,$F19,0)+1)*3.333</f>
        <v>293.304</v>
      </c>
      <c r="I19" s="16" t="s">
        <v>55</v>
      </c>
    </row>
    <row r="20" customFormat="false" ht="15.75" hidden="false" customHeight="true" outlineLevel="0" collapsed="false">
      <c r="A20" s="19" t="s">
        <v>56</v>
      </c>
      <c r="B20" s="14" t="n">
        <v>50</v>
      </c>
      <c r="C20" s="15"/>
      <c r="D20" s="14"/>
      <c r="E20" s="16" t="s">
        <v>57</v>
      </c>
      <c r="F20" s="16" t="n">
        <v>0</v>
      </c>
      <c r="G20" s="22" t="n">
        <f aca="false">H19</f>
        <v>293.304</v>
      </c>
      <c r="H20" s="18" t="n">
        <f aca="true">G20+(OFFSET($B$4,$F20,0)+1)*3.333</f>
        <v>296.637</v>
      </c>
      <c r="I20" s="16" t="s">
        <v>58</v>
      </c>
    </row>
    <row r="21" customFormat="false" ht="15.75" hidden="false" customHeight="true" outlineLevel="0" collapsed="false">
      <c r="A21" s="19" t="s">
        <v>59</v>
      </c>
      <c r="B21" s="16" t="n">
        <v>45</v>
      </c>
      <c r="C21" s="15"/>
      <c r="D21" s="14"/>
      <c r="E21" s="16" t="s">
        <v>22</v>
      </c>
      <c r="F21" s="16" t="n">
        <v>0</v>
      </c>
      <c r="G21" s="22" t="n">
        <f aca="false">H20</f>
        <v>296.637</v>
      </c>
      <c r="H21" s="18" t="n">
        <f aca="true">G21+(OFFSET($B$4,$F21,0)+1)*3.333</f>
        <v>299.97</v>
      </c>
      <c r="I21" s="16" t="s">
        <v>60</v>
      </c>
    </row>
    <row r="22" customFormat="false" ht="15.75" hidden="false" customHeight="true" outlineLevel="0" collapsed="false">
      <c r="A22" s="19" t="s">
        <v>61</v>
      </c>
      <c r="B22" s="14" t="n">
        <v>25</v>
      </c>
      <c r="C22" s="15"/>
      <c r="D22" s="14"/>
      <c r="E22" s="16" t="s">
        <v>62</v>
      </c>
      <c r="F22" s="16" t="n">
        <v>0</v>
      </c>
      <c r="G22" s="18" t="n">
        <f aca="false">H21</f>
        <v>299.97</v>
      </c>
      <c r="H22" s="18" t="n">
        <f aca="true">G22+(OFFSET($B$4,$F22,0)+1)*3.333</f>
        <v>303.303</v>
      </c>
      <c r="I22" s="16"/>
    </row>
    <row r="23" customFormat="false" ht="15.75" hidden="false" customHeight="true" outlineLevel="0" collapsed="false">
      <c r="A23" s="19" t="s">
        <v>63</v>
      </c>
      <c r="B23" s="14" t="n">
        <v>70</v>
      </c>
      <c r="C23" s="15"/>
      <c r="D23" s="14"/>
      <c r="E23" s="16" t="s">
        <v>64</v>
      </c>
      <c r="F23" s="16" t="n">
        <v>6</v>
      </c>
      <c r="G23" s="18" t="n">
        <f aca="false">H22</f>
        <v>303.303</v>
      </c>
      <c r="H23" s="18" t="n">
        <f aca="true">G23+(OFFSET($B$4,$F23,0)+1)*3.333</f>
        <v>323.301</v>
      </c>
      <c r="I23" s="16" t="s">
        <v>65</v>
      </c>
    </row>
    <row r="24" customFormat="false" ht="15.75" hidden="false" customHeight="true" outlineLevel="0" collapsed="false">
      <c r="A24" s="19" t="s">
        <v>66</v>
      </c>
      <c r="B24" s="14" t="n">
        <v>175</v>
      </c>
      <c r="C24" s="15"/>
      <c r="D24" s="14"/>
      <c r="E24" s="20" t="s">
        <v>67</v>
      </c>
      <c r="F24" s="16" t="n">
        <v>0</v>
      </c>
      <c r="G24" s="22" t="n">
        <f aca="false">H23</f>
        <v>323.301</v>
      </c>
      <c r="H24" s="18" t="n">
        <f aca="true">G24+(OFFSET($B$4,$F24,0)+1)*3.333</f>
        <v>326.634</v>
      </c>
      <c r="I24" s="26" t="s">
        <v>68</v>
      </c>
    </row>
    <row r="25" customFormat="false" ht="15.75" hidden="false" customHeight="true" outlineLevel="0" collapsed="false">
      <c r="A25" s="19" t="s">
        <v>69</v>
      </c>
      <c r="B25" s="14" t="n">
        <v>95</v>
      </c>
      <c r="C25" s="15"/>
      <c r="D25" s="14"/>
      <c r="E25" s="16" t="s">
        <v>70</v>
      </c>
      <c r="F25" s="16" t="n">
        <v>0</v>
      </c>
      <c r="G25" s="41" t="n">
        <v>0</v>
      </c>
      <c r="H25" s="28" t="n">
        <f aca="false">G25+3.333</f>
        <v>3.333</v>
      </c>
      <c r="I25" s="16"/>
    </row>
    <row r="26" customFormat="false" ht="15.75" hidden="false" customHeight="true" outlineLevel="0" collapsed="false">
      <c r="A26" s="19" t="s">
        <v>71</v>
      </c>
      <c r="B26" s="14" t="n">
        <v>320</v>
      </c>
      <c r="C26" s="15"/>
      <c r="D26" s="14" t="s">
        <v>72</v>
      </c>
      <c r="E26" s="16" t="s">
        <v>73</v>
      </c>
      <c r="F26" s="16" t="n">
        <v>0</v>
      </c>
      <c r="G26" s="18" t="n">
        <v>0</v>
      </c>
      <c r="H26" s="18" t="n">
        <f aca="true">G26+(OFFSET($B$4,$F26,0)+1)*3.333</f>
        <v>3.333</v>
      </c>
      <c r="I26" s="16" t="s">
        <v>74</v>
      </c>
    </row>
    <row r="27" customFormat="false" ht="15.75" hidden="false" customHeight="true" outlineLevel="0" collapsed="false">
      <c r="A27" s="19" t="s">
        <v>75</v>
      </c>
      <c r="B27" s="14" t="n">
        <v>410</v>
      </c>
      <c r="C27" s="15"/>
      <c r="D27" s="14" t="s">
        <v>76</v>
      </c>
      <c r="E27" s="16" t="s">
        <v>77</v>
      </c>
      <c r="F27" s="16" t="n">
        <v>0</v>
      </c>
      <c r="G27" s="18" t="n">
        <f aca="false">H26</f>
        <v>3.333</v>
      </c>
      <c r="H27" s="18" t="n">
        <f aca="true">G27+(OFFSET($B$4,$F27,0)+1)*3.333</f>
        <v>6.666</v>
      </c>
      <c r="I27" s="16"/>
    </row>
    <row r="28" customFormat="false" ht="15.75" hidden="false" customHeight="true" outlineLevel="0" collapsed="false">
      <c r="A28" s="19" t="s">
        <v>78</v>
      </c>
      <c r="B28" s="14" t="n">
        <v>115</v>
      </c>
      <c r="C28" s="15"/>
      <c r="D28" s="14"/>
      <c r="E28" s="16" t="s">
        <v>79</v>
      </c>
      <c r="F28" s="16" t="n">
        <v>0</v>
      </c>
      <c r="G28" s="18" t="n">
        <f aca="false">H27</f>
        <v>6.666</v>
      </c>
      <c r="H28" s="18" t="n">
        <f aca="true">G28+(OFFSET($B$4,$F28,0)+1)*3.333</f>
        <v>9.999</v>
      </c>
      <c r="I28" s="16"/>
    </row>
    <row r="29" customFormat="false" ht="15.75" hidden="false" customHeight="true" outlineLevel="0" collapsed="false">
      <c r="A29" s="19"/>
      <c r="B29" s="14"/>
      <c r="C29" s="15"/>
      <c r="D29" s="14"/>
      <c r="E29" s="16" t="s">
        <v>80</v>
      </c>
      <c r="F29" s="16" t="n">
        <v>0</v>
      </c>
      <c r="G29" s="18" t="n">
        <f aca="false">H28</f>
        <v>9.999</v>
      </c>
      <c r="H29" s="18" t="n">
        <f aca="true">G29+(OFFSET($B$4,$F29,0)+1)*3.333</f>
        <v>13.332</v>
      </c>
      <c r="I29" s="16"/>
    </row>
    <row r="30" customFormat="false" ht="15.75" hidden="false" customHeight="true" outlineLevel="0" collapsed="false">
      <c r="A30" s="19"/>
      <c r="B30" s="14"/>
      <c r="C30" s="15"/>
      <c r="D30" s="14"/>
      <c r="E30" s="16" t="s">
        <v>81</v>
      </c>
      <c r="F30" s="16" t="n">
        <v>0</v>
      </c>
      <c r="G30" s="18" t="n">
        <f aca="false">H29</f>
        <v>13.332</v>
      </c>
      <c r="H30" s="18" t="n">
        <f aca="true">G30+(OFFSET($B$4,$F30,0)+1)*3.333</f>
        <v>16.665</v>
      </c>
      <c r="I30" s="16"/>
    </row>
    <row r="31" customFormat="false" ht="15.75" hidden="false" customHeight="true" outlineLevel="0" collapsed="false">
      <c r="A31" s="19"/>
      <c r="B31" s="14"/>
      <c r="C31" s="15"/>
      <c r="D31" s="14"/>
      <c r="E31" s="16" t="s">
        <v>82</v>
      </c>
      <c r="F31" s="16" t="n">
        <v>7</v>
      </c>
      <c r="G31" s="42"/>
      <c r="H31" s="16"/>
      <c r="I31" s="16" t="s">
        <v>83</v>
      </c>
    </row>
    <row r="32" customFormat="false" ht="15.75" hidden="false" customHeight="true" outlineLevel="0" collapsed="false">
      <c r="A32" s="19"/>
      <c r="B32" s="14"/>
      <c r="C32" s="15"/>
      <c r="D32" s="14"/>
      <c r="E32" s="16" t="s">
        <v>84</v>
      </c>
      <c r="F32" s="16" t="n">
        <v>0</v>
      </c>
      <c r="G32" s="42"/>
      <c r="H32" s="16"/>
      <c r="I32" s="16"/>
    </row>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A2:B2"/>
    <mergeCell ref="G2:I2"/>
    <mergeCell ref="A13:B13"/>
  </mergeCells>
  <conditionalFormatting sqref="G24">
    <cfRule type="expression" priority="2" aboveAverage="0" equalAverage="0" bottom="0" percent="0" rank="0" text="" dxfId="0">
      <formula>ROUND($G$24 - $H$7, 1) &lt; VLOOKUP("tRAS",$A$14:$B$32, 2, 0)</formula>
    </cfRule>
  </conditionalFormatting>
  <conditionalFormatting sqref="G24">
    <cfRule type="expression" priority="3" aboveAverage="0" equalAverage="0" bottom="0" percent="0" rank="0" text="" dxfId="1">
      <formula>ROUND($G$24 - $H$26, 1) &lt; VLOOKUP("tRC",$A$14:$B$32, 2, 0)</formula>
    </cfRule>
  </conditionalFormatting>
  <conditionalFormatting sqref="G13">
    <cfRule type="expression" priority="4" aboveAverage="0" equalAverage="0" bottom="0" percent="0" rank="0" text="" dxfId="0">
      <formula>ROUND($G$13-$H$7, 1) &lt; VLOOKUP("tRCD(min)",$A$14:$B$32,2,0)</formula>
    </cfRule>
  </conditionalFormatting>
  <conditionalFormatting sqref="G13">
    <cfRule type="expression" priority="5" aboveAverage="0" equalAverage="0" bottom="0" percent="0" rank="0" text="" dxfId="1">
      <formula>ROUND($G$13-$H$26,1) &lt; VLOOKUP("tCPN",$A$14:$B$32,2,0)</formula>
    </cfRule>
  </conditionalFormatting>
  <conditionalFormatting sqref="G13">
    <cfRule type="expression" priority="6" aboveAverage="0" equalAverage="0" bottom="0" percent="0" rank="0" text="" dxfId="2">
      <formula>ROUND($G$13-$H$7, 1) &gt;= VLOOKUP("tRCD(max)",$A$14:$B$32,2,0)</formula>
    </cfRule>
  </conditionalFormatting>
  <conditionalFormatting sqref="G18">
    <cfRule type="expression" priority="7" aboveAverage="0" equalAverage="0" bottom="0" percent="0" rank="0" text="" dxfId="0">
      <formula>ROUND($G$18 - $H$11, 1) &lt; VLOOKUP("tCAH",$A$14:$B$26,2,0)</formula>
    </cfRule>
  </conditionalFormatting>
  <conditionalFormatting sqref="G7">
    <cfRule type="expression" priority="8" aboveAverage="0" equalAverage="0" bottom="0" percent="0" rank="0" text="" dxfId="0">
      <formula>ROUND($G$7-$H$26,1) &lt; VLOOKUP("tRP",$A$14:$B$32,2,0)</formula>
    </cfRule>
  </conditionalFormatting>
  <conditionalFormatting sqref="G9">
    <cfRule type="expression" priority="9" aboveAverage="0" equalAverage="0" bottom="0" percent="0" rank="0" text="" dxfId="0">
      <formula>ROUND($G$9 - $H$7, 1) &lt; VLOOKUP("tRAH",$A$14:$B$32,2,0)</formula>
    </cfRule>
  </conditionalFormatting>
  <conditionalFormatting sqref="G17">
    <cfRule type="expression" priority="10" aboveAverage="0" equalAverage="0" bottom="0" percent="0" rank="0" text="" dxfId="0">
      <formula>ROUND($G$17 - $H$11, 1) &lt; VLOOKUP("tWP",$A$14:$B$32,2,0)</formula>
    </cfRule>
  </conditionalFormatting>
  <conditionalFormatting sqref="G11">
    <cfRule type="expression" priority="11" aboveAverage="0" equalAverage="0" bottom="0" percent="0" rank="0" text="" dxfId="1">
      <formula>ROUND($G$11-$H$26,1) &lt; VLOOKUP("tCPN",$A$14:$B$32,2,0)</formula>
    </cfRule>
  </conditionalFormatting>
  <conditionalFormatting sqref="G18">
    <cfRule type="expression" priority="12" aboveAverage="0" equalAverage="0" bottom="0" percent="0" rank="0" text="" dxfId="0">
      <formula>ROUND($G$18 - $H$13, 1) &lt; VLOOKUP("tCAH",$A$14:$B$26,2,0)</formula>
    </cfRule>
  </conditionalFormatting>
  <conditionalFormatting sqref="G20">
    <cfRule type="expression" priority="13" aboveAverage="0" equalAverage="0" bottom="0" percent="0" rank="0" text="" dxfId="0">
      <formula>ROUND($G$20 - $H$7, 1) &lt; VLOOKUP("tRAC",$A$14:$B$26,2,0)</formula>
    </cfRule>
  </conditionalFormatting>
  <conditionalFormatting sqref="G17">
    <cfRule type="expression" priority="14" aboveAverage="0" equalAverage="0" bottom="0" percent="0" rank="0" text="" dxfId="1">
      <formula>ROUND($G$17 - $H$11, 1) &lt; VLOOKUP("tWCH",$A$14:$B$32,2,0)</formula>
    </cfRule>
  </conditionalFormatting>
  <conditionalFormatting sqref="G21">
    <cfRule type="expression" priority="15" aboveAverage="0" equalAverage="0" bottom="0" percent="0" rank="0" text="" dxfId="0">
      <formula>ROUND($G$21 - $H$13, 1) &lt; VLOOKUP("tCAS", $A$14:$B$32, 2, 0)</formula>
    </cfRule>
  </conditionalFormatting>
  <conditionalFormatting sqref="G17">
    <cfRule type="expression" priority="16" aboveAverage="0" equalAverage="0" bottom="0" percent="0" rank="0" text="" dxfId="3">
      <formula>ROUND($G$17 - $H$7, 1) &lt; VLOOKUP("tWCR",$A$14:$B$32,2,0)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LibreOffice/24.2.5.2$Windows_X86_64 LibreOffice_project/bffef4ea93e59bebbeaf7f431bb02b1a39ee8a59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en-NZ</dc:language>
  <cp:lastModifiedBy/>
  <dcterms:modified xsi:type="dcterms:W3CDTF">2025-11-16T19:31:06Z</dcterms:modified>
  <cp:revision>1</cp:revision>
  <dc:subject/>
  <dc:title/>
</cp:coreProperties>
</file>